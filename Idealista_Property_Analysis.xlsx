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KEY_COMPAR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&quot;"/>
    <numFmt numFmtId="165" formatCode="€#,##0"/>
    <numFmt numFmtId="166" formatCode="#,##0.0&quot; m²&quot;"/>
    <numFmt numFmtId="167" formatCode="yyyy-mm-dd"/>
    <numFmt numFmtId="168" formatCode="0&quot; days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i val="1"/>
      <color rgb="0080808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3" borderId="0" pivotButton="0" quotePrefix="0" xfId="0"/>
    <xf numFmtId="0" fontId="9" fillId="3" borderId="0" pivotButton="0" quotePrefix="0" xfId="0"/>
    <xf numFmtId="164" fontId="8" fillId="3" borderId="0" pivotButton="0" quotePrefix="0" xfId="0"/>
    <xf numFmtId="165" fontId="8" fillId="3" borderId="0" pivotButton="0" quotePrefix="0" xfId="0"/>
    <xf numFmtId="166" fontId="8" fillId="3" borderId="0" pivotButton="0" quotePrefix="0" xfId="0"/>
    <xf numFmtId="165" fontId="2" fillId="0" borderId="0" pivotButton="0" quotePrefix="0" xfId="0"/>
    <xf numFmtId="1" fontId="8" fillId="3" borderId="0" pivotButton="0" quotePrefix="0" xfId="0"/>
    <xf numFmtId="167" fontId="8" fillId="3" borderId="0" pivotButton="0" quotePrefix="0" xfId="0"/>
    <xf numFmtId="168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" fontId="8" fillId="0" borderId="0" pivotButton="0" quotePrefix="0" xfId="0"/>
    <xf numFmtId="167" fontId="8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167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2" fillId="0" borderId="0" pivotButton="0" quotePrefix="0" xfId="0"/>
    <xf numFmtId="1" fontId="2" fillId="0" borderId="0" pivotButton="0" quotePrefix="0" xfId="0"/>
    <xf numFmtId="10" fontId="6" fillId="5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price per m² (all listings)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'INPUT_DATA'!H1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'INPUT_DATA'!$A$2:$A$201</f>
            </numRef>
          </cat>
          <val>
            <numRef>
              <f>'INPUT_DATA'!$H$2:$H$201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Listing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per m²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vs Size (all listings)</a:t>
            </a:r>
          </a:p>
        </rich>
      </tx>
    </title>
    <plotArea>
      <scatterChart>
        <ser>
          <idx val="0"/>
          <order val="0"/>
          <tx>
            <v>Properties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'INPUT_DATA'!$G$2:$G$201</f>
            </numRef>
          </xVal>
          <yVal>
            <numRef>
              <f>'INPUT_DATA'!$F$2:$F$201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(m²)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dealista.com/inmueble/108875567/" TargetMode="External" Id="rId1"/><Relationship Type="http://schemas.openxmlformats.org/officeDocument/2006/relationships/hyperlink" Target="https://www.idealista.com/inmueble/108138954/" TargetMode="External" Id="rId2"/><Relationship Type="http://schemas.openxmlformats.org/officeDocument/2006/relationships/hyperlink" Target="https://www.idealista.com/inmueble/111294791/" TargetMode="External" Id="rId3"/><Relationship Type="http://schemas.openxmlformats.org/officeDocument/2006/relationships/hyperlink" Target="https://www.idealista.com/inmueble/109092604/" TargetMode="External" Id="rId4"/><Relationship Type="http://schemas.openxmlformats.org/officeDocument/2006/relationships/hyperlink" Target="https://www.idealista.com/inmueble/37063395/" TargetMode="External" Id="rId5"/><Relationship Type="http://schemas.openxmlformats.org/officeDocument/2006/relationships/hyperlink" Target="https://www.idealista.com/inmueble/111296556/" TargetMode="External" Id="rId6"/><Relationship Type="http://schemas.openxmlformats.org/officeDocument/2006/relationships/hyperlink" Target="https://www.idealista.com/inmueble/111296292/" TargetMode="External" Id="rId7"/><Relationship Type="http://schemas.openxmlformats.org/officeDocument/2006/relationships/hyperlink" Target="https://www.idealista.com/inmueble/111296145/" TargetMode="External" Id="rId8"/><Relationship Type="http://schemas.openxmlformats.org/officeDocument/2006/relationships/hyperlink" Target="https://www.idealista.com/inmueble/111296139/" TargetMode="External" Id="rId9"/><Relationship Type="http://schemas.openxmlformats.org/officeDocument/2006/relationships/hyperlink" Target="https://www.idealista.com/inmueble/94572701/" TargetMode="External" Id="rId10"/><Relationship Type="http://schemas.openxmlformats.org/officeDocument/2006/relationships/hyperlink" Target="https://www.idealista.com/inmueble/111295967/" TargetMode="External" Id="rId11"/><Relationship Type="http://schemas.openxmlformats.org/officeDocument/2006/relationships/hyperlink" Target="https://www.idealista.com/inmueble/111295916/" TargetMode="External" Id="rId12"/><Relationship Type="http://schemas.openxmlformats.org/officeDocument/2006/relationships/hyperlink" Target="https://www.idealista.com/inmueble/111295915/" TargetMode="External" Id="rId13"/><Relationship Type="http://schemas.openxmlformats.org/officeDocument/2006/relationships/hyperlink" Target="https://www.idealista.com/inmueble/111295893/" TargetMode="External" Id="rId14"/><Relationship Type="http://schemas.openxmlformats.org/officeDocument/2006/relationships/hyperlink" Target="https://www.idealista.com/inmueble/111294588/" TargetMode="External" Id="rId15"/><Relationship Type="http://schemas.openxmlformats.org/officeDocument/2006/relationships/hyperlink" Target="https://www.idealista.com/inmueble/99174937/" TargetMode="External" Id="rId16"/><Relationship Type="http://schemas.openxmlformats.org/officeDocument/2006/relationships/hyperlink" Target="https://www.idealista.com/inmueble/111293407/" TargetMode="External" Id="rId17"/><Relationship Type="http://schemas.openxmlformats.org/officeDocument/2006/relationships/hyperlink" Target="https://www.idealista.com/inmueble/104791906/" TargetMode="External" Id="rId18"/><Relationship Type="http://schemas.openxmlformats.org/officeDocument/2006/relationships/hyperlink" Target="https://www.idealista.com/inmueble/111292918/" TargetMode="External" Id="rId19"/><Relationship Type="http://schemas.openxmlformats.org/officeDocument/2006/relationships/hyperlink" Target="https://www.idealista.com/inmueble/111292908/" TargetMode="External" Id="rId20"/><Relationship Type="http://schemas.openxmlformats.org/officeDocument/2006/relationships/hyperlink" Target="https://www.idealista.com/inmueble/111291767/" TargetMode="External" Id="rId21"/><Relationship Type="http://schemas.openxmlformats.org/officeDocument/2006/relationships/hyperlink" Target="https://www.idealista.com/inmueble/111289237/" TargetMode="External" Id="rId22"/><Relationship Type="http://schemas.openxmlformats.org/officeDocument/2006/relationships/hyperlink" Target="https://www.idealista.com/inmueble/111289497/" TargetMode="External" Id="rId23"/><Relationship Type="http://schemas.openxmlformats.org/officeDocument/2006/relationships/hyperlink" Target="https://www.idealista.com/inmueble/111278729/" TargetMode="External" Id="rId24"/><Relationship Type="http://schemas.openxmlformats.org/officeDocument/2006/relationships/hyperlink" Target="https://www.idealista.com/inmueble/111292394/" TargetMode="External" Id="rId25"/><Relationship Type="http://schemas.openxmlformats.org/officeDocument/2006/relationships/hyperlink" Target="https://www.idealista.com/inmueble/111279789/" TargetMode="External" Id="rId26"/><Relationship Type="http://schemas.openxmlformats.org/officeDocument/2006/relationships/hyperlink" Target="https://www.idealista.com/inmueble/111292308/" TargetMode="External" Id="rId27"/><Relationship Type="http://schemas.openxmlformats.org/officeDocument/2006/relationships/hyperlink" Target="https://www.idealista.com/inmueble/111291465/" TargetMode="External" Id="rId28"/><Relationship Type="http://schemas.openxmlformats.org/officeDocument/2006/relationships/hyperlink" Target="https://www.idealista.com/inmueble/111291442/" TargetMode="External" Id="rId29"/><Relationship Type="http://schemas.openxmlformats.org/officeDocument/2006/relationships/hyperlink" Target="https://www.idealista.com/inmueble/111236832/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36" customWidth="1" min="4" max="4"/>
    <col width="12" customWidth="1" min="5" max="5"/>
    <col width="12" customWidth="1" min="6" max="6"/>
    <col width="10" customWidth="1" min="7" max="7"/>
    <col width="14" customWidth="1" min="8" max="8"/>
    <col width="11" customWidth="1" min="9" max="9"/>
    <col width="11" customWidth="1" min="10" max="10"/>
    <col width="8" customWidth="1" min="11" max="11"/>
    <col width="10" customWidth="1" min="12" max="12"/>
    <col width="16" customWidth="1" min="13" max="13"/>
    <col width="8" customWidth="1" min="14" max="14"/>
    <col width="9" customWidth="1" min="15" max="15"/>
    <col width="9" customWidth="1" min="16" max="16"/>
    <col width="14" customWidth="1" min="17" max="17"/>
    <col width="14" customWidth="1" min="18" max="18"/>
    <col width="40" customWidth="1" min="19" max="19"/>
  </cols>
  <sheetData>
    <row r="1" ht="28" customHeight="1">
      <c r="A1" s="1" t="inlineStr">
        <is>
          <t>ID</t>
        </is>
      </c>
      <c r="B1" s="1" t="inlineStr">
        <is>
          <t>Type</t>
        </is>
      </c>
      <c r="C1" s="1" t="inlineStr">
        <is>
          <t>Link</t>
        </is>
      </c>
      <c r="D1" s="1" t="inlineStr">
        <is>
          <t>Address</t>
        </is>
      </c>
      <c r="E1" s="1" t="inlineStr">
        <is>
          <t>Distance (m)</t>
        </is>
      </c>
      <c r="F1" s="1" t="inlineStr">
        <is>
          <t>Price (€)</t>
        </is>
      </c>
      <c r="G1" s="1" t="inlineStr">
        <is>
          <t>Size (m2)</t>
        </is>
      </c>
      <c r="H1" s="1" t="inlineStr">
        <is>
          <t>Price per m2 (€)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Floor</t>
        </is>
      </c>
      <c r="L1" s="1" t="inlineStr">
        <is>
          <t>Elevator</t>
        </is>
      </c>
      <c r="M1" s="1" t="inlineStr">
        <is>
          <t>Condition</t>
        </is>
      </c>
      <c r="N1" s="1" t="inlineStr">
        <is>
          <t>Year</t>
        </is>
      </c>
      <c r="O1" s="1" t="inlineStr">
        <is>
          <t>Terrace</t>
        </is>
      </c>
      <c r="P1" s="1" t="inlineStr">
        <is>
          <t>Parking</t>
        </is>
      </c>
      <c r="Q1" s="1" t="inlineStr">
        <is>
          <t>Listing Date</t>
        </is>
      </c>
      <c r="R1" s="1" t="inlineStr">
        <is>
          <t>Days on Market</t>
        </is>
      </c>
      <c r="S1" s="1" t="inlineStr">
        <is>
          <t>Notes</t>
        </is>
      </c>
    </row>
    <row r="2">
      <c r="A2" s="2" t="n">
        <v>1</v>
      </c>
      <c r="B2" s="2" t="inlineStr">
        <is>
          <t>Rent</t>
        </is>
      </c>
      <c r="C2" s="3" t="inlineStr">
        <is>
          <t>https://www.idealista.com/inmueble/108875567/</t>
        </is>
      </c>
      <c r="D2" s="2" t="inlineStr">
        <is>
          <t>Alquiler de piso en Huertas-Cortes</t>
        </is>
      </c>
      <c r="E2" s="4" t="n"/>
      <c r="F2" s="5" t="n">
        <v>1450</v>
      </c>
      <c r="G2" s="6" t="n">
        <v>60</v>
      </c>
      <c r="H2" s="7">
        <f>IFERROR(IF(AND(F2&gt;0,G2&gt;0),F2/G2,""),"")</f>
        <v/>
      </c>
      <c r="I2" s="2" t="n">
        <v>2</v>
      </c>
      <c r="J2" s="2" t="n">
        <v>1</v>
      </c>
      <c r="K2" s="2" t="inlineStr">
        <is>
          <t>principal</t>
        </is>
      </c>
      <c r="L2" s="2" t="n"/>
      <c r="M2" s="2" t="n"/>
      <c r="N2" s="8" t="n"/>
      <c r="O2" s="2" t="n"/>
      <c r="P2" s="2" t="n"/>
      <c r="Q2" s="9" t="n">
        <v>46138</v>
      </c>
      <c r="R2" s="10">
        <f>IFERROR(IF(Q2="","",TODAY()-Q2),"")</f>
        <v/>
      </c>
      <c r="S2" s="2" t="inlineStr"/>
    </row>
    <row r="3">
      <c r="A3" s="11" t="n">
        <v>2</v>
      </c>
      <c r="B3" s="11" t="inlineStr">
        <is>
          <t>Rent</t>
        </is>
      </c>
      <c r="C3" s="12" t="inlineStr">
        <is>
          <t>https://www.idealista.com/inmueble/108138954/</t>
        </is>
      </c>
      <c r="D3" s="11" t="inlineStr">
        <is>
          <t>Alquiler de piso en Palacio</t>
        </is>
      </c>
      <c r="E3" s="13" t="n"/>
      <c r="F3" s="14" t="n">
        <v>2350</v>
      </c>
      <c r="G3" s="15" t="n">
        <v>85</v>
      </c>
      <c r="H3" s="7">
        <f>IFERROR(IF(AND(F3&gt;0,G3&gt;0),F3/G3,""),"")</f>
        <v/>
      </c>
      <c r="I3" s="11" t="n">
        <v>3</v>
      </c>
      <c r="J3" s="11" t="n">
        <v>2</v>
      </c>
      <c r="K3" s="11" t="inlineStr">
        <is>
          <t>principal</t>
        </is>
      </c>
      <c r="L3" s="11" t="n"/>
      <c r="M3" s="11" t="n"/>
      <c r="N3" s="16" t="n"/>
      <c r="O3" s="11" t="n"/>
      <c r="P3" s="11" t="n"/>
      <c r="Q3" s="17" t="n">
        <v>46138</v>
      </c>
      <c r="R3" s="10">
        <f>IFERROR(IF(Q3="","",TODAY()-Q3),"")</f>
        <v/>
      </c>
      <c r="S3" s="11" t="inlineStr"/>
    </row>
    <row r="4">
      <c r="A4" s="2" t="n">
        <v>3</v>
      </c>
      <c r="B4" s="2" t="inlineStr">
        <is>
          <t>Rent</t>
        </is>
      </c>
      <c r="C4" s="3" t="inlineStr">
        <is>
          <t>https://www.idealista.com/inmueble/111294791/</t>
        </is>
      </c>
      <c r="D4" s="2" t="inlineStr">
        <is>
          <t>Alquiler de piso en Calle de Valencia, 18</t>
        </is>
      </c>
      <c r="E4" s="4" t="n"/>
      <c r="F4" s="5" t="n">
        <v>1990</v>
      </c>
      <c r="G4" s="6" t="n">
        <v>95</v>
      </c>
      <c r="H4" s="7">
        <f>IFERROR(IF(AND(F4&gt;0,G4&gt;0),F4/G4,""),"")</f>
        <v/>
      </c>
      <c r="I4" s="2" t="n">
        <v>3</v>
      </c>
      <c r="J4" s="2" t="n">
        <v>1</v>
      </c>
      <c r="K4" s="2" t="inlineStr">
        <is>
          <t>principal</t>
        </is>
      </c>
      <c r="L4" s="2" t="n"/>
      <c r="M4" s="2" t="n"/>
      <c r="N4" s="8" t="n"/>
      <c r="O4" s="2" t="n"/>
      <c r="P4" s="2" t="n"/>
      <c r="Q4" s="9" t="n"/>
      <c r="R4" s="10">
        <f>IFERROR(IF(Q4="","",TODAY()-Q4),"")</f>
        <v/>
      </c>
      <c r="S4" s="2" t="inlineStr"/>
    </row>
    <row r="5">
      <c r="A5" s="11" t="n">
        <v>4</v>
      </c>
      <c r="B5" s="11" t="inlineStr">
        <is>
          <t>Rent</t>
        </is>
      </c>
      <c r="C5" s="12" t="inlineStr">
        <is>
          <t>https://www.idealista.com/inmueble/109092604/</t>
        </is>
      </c>
      <c r="D5" s="11" t="inlineStr">
        <is>
          <t>Alquiler de piso en Calle de Carlos Arniches, 31</t>
        </is>
      </c>
      <c r="E5" s="13" t="n"/>
      <c r="F5" s="14" t="n">
        <v>1150</v>
      </c>
      <c r="G5" s="15" t="n">
        <v>50</v>
      </c>
      <c r="H5" s="7">
        <f>IFERROR(IF(AND(F5&gt;0,G5&gt;0),F5/G5,""),"")</f>
        <v/>
      </c>
      <c r="I5" s="11" t="n">
        <v>2</v>
      </c>
      <c r="J5" s="11" t="n">
        <v>1</v>
      </c>
      <c r="K5" s="11" t="inlineStr">
        <is>
          <t>principal</t>
        </is>
      </c>
      <c r="L5" s="11" t="n"/>
      <c r="M5" s="11" t="n"/>
      <c r="N5" s="16" t="n"/>
      <c r="O5" s="11" t="n"/>
      <c r="P5" s="11" t="n"/>
      <c r="Q5" s="17" t="n"/>
      <c r="R5" s="10">
        <f>IFERROR(IF(Q5="","",TODAY()-Q5),"")</f>
        <v/>
      </c>
      <c r="S5" s="11" t="inlineStr"/>
    </row>
    <row r="6">
      <c r="A6" s="2" t="n">
        <v>5</v>
      </c>
      <c r="B6" s="2" t="inlineStr">
        <is>
          <t>Rent</t>
        </is>
      </c>
      <c r="C6" s="3" t="inlineStr">
        <is>
          <t>https://www.idealista.com/inmueble/37063395/</t>
        </is>
      </c>
      <c r="D6" s="2" t="inlineStr">
        <is>
          <t>Alquiler de estudio en Calle de Almadén, 5</t>
        </is>
      </c>
      <c r="E6" s="4" t="n"/>
      <c r="F6" s="5" t="n">
        <v>1100</v>
      </c>
      <c r="G6" s="6" t="n">
        <v>32</v>
      </c>
      <c r="H6" s="7">
        <f>IFERROR(IF(AND(F6&gt;0,G6&gt;0),F6/G6,""),"")</f>
        <v/>
      </c>
      <c r="I6" s="2" t="n"/>
      <c r="J6" s="2" t="n">
        <v>1</v>
      </c>
      <c r="K6" s="2" t="inlineStr">
        <is>
          <t>principal</t>
        </is>
      </c>
      <c r="L6" s="2" t="n"/>
      <c r="M6" s="2" t="n"/>
      <c r="N6" s="8" t="n"/>
      <c r="O6" s="2" t="n"/>
      <c r="P6" s="2" t="n"/>
      <c r="Q6" s="9" t="n"/>
      <c r="R6" s="10">
        <f>IFERROR(IF(Q6="","",TODAY()-Q6),"")</f>
        <v/>
      </c>
      <c r="S6" s="2" t="inlineStr"/>
    </row>
    <row r="7">
      <c r="A7" s="11" t="n">
        <v>6</v>
      </c>
      <c r="B7" s="11" t="inlineStr">
        <is>
          <t>Rent</t>
        </is>
      </c>
      <c r="C7" s="12" t="inlineStr">
        <is>
          <t>https://www.idealista.com/inmueble/111296556/</t>
        </is>
      </c>
      <c r="D7" s="11" t="inlineStr">
        <is>
          <t>Alquiler de piso en Calle de Concepción Jerónima, 11</t>
        </is>
      </c>
      <c r="E7" s="13" t="n"/>
      <c r="F7" s="14" t="n">
        <v>1700</v>
      </c>
      <c r="G7" s="15" t="n">
        <v>86</v>
      </c>
      <c r="H7" s="7">
        <f>IFERROR(IF(AND(F7&gt;0,G7&gt;0),F7/G7,""),"")</f>
        <v/>
      </c>
      <c r="I7" s="11" t="n">
        <v>2</v>
      </c>
      <c r="J7" s="11" t="n">
        <v>1</v>
      </c>
      <c r="K7" s="11" t="inlineStr">
        <is>
          <t>principal</t>
        </is>
      </c>
      <c r="L7" s="11" t="n"/>
      <c r="M7" s="11" t="n"/>
      <c r="N7" s="16" t="n"/>
      <c r="O7" s="11" t="n"/>
      <c r="P7" s="11" t="n"/>
      <c r="Q7" s="17" t="n">
        <v>46138</v>
      </c>
      <c r="R7" s="10">
        <f>IFERROR(IF(Q7="","",TODAY()-Q7),"")</f>
        <v/>
      </c>
      <c r="S7" s="11" t="inlineStr"/>
    </row>
    <row r="8">
      <c r="A8" s="2" t="n">
        <v>7</v>
      </c>
      <c r="B8" s="2" t="inlineStr">
        <is>
          <t>Rent</t>
        </is>
      </c>
      <c r="C8" s="3" t="inlineStr">
        <is>
          <t>https://www.idealista.com/inmueble/111296292/</t>
        </is>
      </c>
      <c r="D8" s="2" t="inlineStr">
        <is>
          <t>Alquiler de estudio en Plaza de Cascorro</t>
        </is>
      </c>
      <c r="E8" s="4" t="n"/>
      <c r="F8" s="5" t="n">
        <v>1170</v>
      </c>
      <c r="G8" s="6" t="n">
        <v>61</v>
      </c>
      <c r="H8" s="7">
        <f>IFERROR(IF(AND(F8&gt;0,G8&gt;0),F8/G8,""),"")</f>
        <v/>
      </c>
      <c r="I8" s="2" t="n"/>
      <c r="J8" s="2" t="n">
        <v>1</v>
      </c>
      <c r="K8" s="2" t="inlineStr">
        <is>
          <t>principal</t>
        </is>
      </c>
      <c r="L8" s="2" t="n"/>
      <c r="M8" s="2" t="n"/>
      <c r="N8" s="8" t="n"/>
      <c r="O8" s="2" t="n"/>
      <c r="P8" s="2" t="n"/>
      <c r="Q8" s="9" t="n"/>
      <c r="R8" s="10">
        <f>IFERROR(IF(Q8="","",TODAY()-Q8),"")</f>
        <v/>
      </c>
      <c r="S8" s="2" t="inlineStr"/>
    </row>
    <row r="9">
      <c r="A9" s="11" t="n">
        <v>8</v>
      </c>
      <c r="B9" s="11" t="inlineStr">
        <is>
          <t>Rent</t>
        </is>
      </c>
      <c r="C9" s="12" t="inlineStr">
        <is>
          <t>https://www.idealista.com/inmueble/111296145/</t>
        </is>
      </c>
      <c r="D9" s="11" t="inlineStr">
        <is>
          <t>Alquiler de piso en Calle de la Ballesta</t>
        </is>
      </c>
      <c r="E9" s="13" t="n"/>
      <c r="F9" s="14" t="n">
        <v>1300</v>
      </c>
      <c r="G9" s="15" t="n">
        <v>35</v>
      </c>
      <c r="H9" s="7">
        <f>IFERROR(IF(AND(F9&gt;0,G9&gt;0),F9/G9,""),"")</f>
        <v/>
      </c>
      <c r="I9" s="11" t="n">
        <v>2</v>
      </c>
      <c r="J9" s="11" t="n">
        <v>1</v>
      </c>
      <c r="K9" s="11" t="inlineStr">
        <is>
          <t>principal</t>
        </is>
      </c>
      <c r="L9" s="11" t="n"/>
      <c r="M9" s="11" t="n"/>
      <c r="N9" s="16" t="n"/>
      <c r="O9" s="11" t="n"/>
      <c r="P9" s="11" t="n"/>
      <c r="Q9" s="17" t="n"/>
      <c r="R9" s="10">
        <f>IFERROR(IF(Q9="","",TODAY()-Q9),"")</f>
        <v/>
      </c>
      <c r="S9" s="11" t="inlineStr"/>
    </row>
    <row r="10">
      <c r="A10" s="2" t="n">
        <v>9</v>
      </c>
      <c r="B10" s="2" t="inlineStr">
        <is>
          <t>Rent</t>
        </is>
      </c>
      <c r="C10" s="3" t="inlineStr">
        <is>
          <t>https://www.idealista.com/inmueble/111296139/</t>
        </is>
      </c>
      <c r="D10" s="2" t="inlineStr">
        <is>
          <t>Alquiler de piso en Calle de Cuchilleros</t>
        </is>
      </c>
      <c r="E10" s="4" t="n"/>
      <c r="F10" s="5" t="n">
        <v>2600</v>
      </c>
      <c r="G10" s="6" t="n">
        <v>100</v>
      </c>
      <c r="H10" s="7">
        <f>IFERROR(IF(AND(F10&gt;0,G10&gt;0),F10/G10,""),"")</f>
        <v/>
      </c>
      <c r="I10" s="2" t="n">
        <v>2</v>
      </c>
      <c r="J10" s="2" t="n">
        <v>2</v>
      </c>
      <c r="K10" s="2" t="inlineStr">
        <is>
          <t>principal</t>
        </is>
      </c>
      <c r="L10" s="2" t="n"/>
      <c r="M10" s="2" t="n"/>
      <c r="N10" s="8" t="n"/>
      <c r="O10" s="2" t="n"/>
      <c r="P10" s="2" t="n"/>
      <c r="Q10" s="9" t="n"/>
      <c r="R10" s="10">
        <f>IFERROR(IF(Q10="","",TODAY()-Q10),"")</f>
        <v/>
      </c>
      <c r="S10" s="2" t="inlineStr"/>
    </row>
    <row r="11">
      <c r="A11" s="11" t="n">
        <v>10</v>
      </c>
      <c r="B11" s="11" t="inlineStr">
        <is>
          <t>Rent</t>
        </is>
      </c>
      <c r="C11" s="12" t="inlineStr">
        <is>
          <t>https://www.idealista.com/inmueble/94572701/</t>
        </is>
      </c>
      <c r="D11" s="11" t="inlineStr">
        <is>
          <t>Alquiler de piso en Huertas-Cortes</t>
        </is>
      </c>
      <c r="E11" s="13" t="n"/>
      <c r="F11" s="14" t="n">
        <v>1150</v>
      </c>
      <c r="G11" s="15" t="n">
        <v>45</v>
      </c>
      <c r="H11" s="7">
        <f>IFERROR(IF(AND(F11&gt;0,G11&gt;0),F11/G11,""),"")</f>
        <v/>
      </c>
      <c r="I11" s="11" t="n">
        <v>1</v>
      </c>
      <c r="J11" s="11" t="n">
        <v>1</v>
      </c>
      <c r="K11" s="11" t="inlineStr">
        <is>
          <t>principal</t>
        </is>
      </c>
      <c r="L11" s="11" t="n"/>
      <c r="M11" s="11" t="n"/>
      <c r="N11" s="16" t="n"/>
      <c r="O11" s="11" t="n"/>
      <c r="P11" s="11" t="n"/>
      <c r="Q11" s="17" t="n"/>
      <c r="R11" s="10">
        <f>IFERROR(IF(Q11="","",TODAY()-Q11),"")</f>
        <v/>
      </c>
      <c r="S11" s="11" t="inlineStr"/>
    </row>
    <row r="12">
      <c r="A12" s="2" t="n">
        <v>11</v>
      </c>
      <c r="B12" s="2" t="inlineStr">
        <is>
          <t>Rent</t>
        </is>
      </c>
      <c r="C12" s="3" t="inlineStr">
        <is>
          <t>https://www.idealista.com/inmueble/111295967/</t>
        </is>
      </c>
      <c r="D12" s="2" t="inlineStr">
        <is>
          <t>Alquiler de estudio en Calle de Preciados, 34</t>
        </is>
      </c>
      <c r="E12" s="4" t="n"/>
      <c r="F12" s="5" t="n">
        <v>1450</v>
      </c>
      <c r="G12" s="6" t="n">
        <v>30</v>
      </c>
      <c r="H12" s="7">
        <f>IFERROR(IF(AND(F12&gt;0,G12&gt;0),F12/G12,""),"")</f>
        <v/>
      </c>
      <c r="I12" s="2" t="n"/>
      <c r="J12" s="2" t="n">
        <v>1</v>
      </c>
      <c r="K12" s="2" t="inlineStr">
        <is>
          <t>principal</t>
        </is>
      </c>
      <c r="L12" s="2" t="n"/>
      <c r="M12" s="2" t="n"/>
      <c r="N12" s="8" t="n"/>
      <c r="O12" s="2" t="n"/>
      <c r="P12" s="2" t="n"/>
      <c r="Q12" s="9" t="n"/>
      <c r="R12" s="10">
        <f>IFERROR(IF(Q12="","",TODAY()-Q12),"")</f>
        <v/>
      </c>
      <c r="S12" s="2" t="inlineStr"/>
    </row>
    <row r="13">
      <c r="A13" s="11" t="n">
        <v>12</v>
      </c>
      <c r="B13" s="11" t="inlineStr">
        <is>
          <t>Rent</t>
        </is>
      </c>
      <c r="C13" s="12" t="inlineStr">
        <is>
          <t>https://www.idealista.com/inmueble/111295916/</t>
        </is>
      </c>
      <c r="D13" s="11" t="inlineStr">
        <is>
          <t>Alquiler de estudio en Calle de San Marcos s/n</t>
        </is>
      </c>
      <c r="E13" s="13" t="n"/>
      <c r="F13" s="14" t="n">
        <v>1600</v>
      </c>
      <c r="G13" s="15" t="n">
        <v>35</v>
      </c>
      <c r="H13" s="7">
        <f>IFERROR(IF(AND(F13&gt;0,G13&gt;0),F13/G13,""),"")</f>
        <v/>
      </c>
      <c r="I13" s="11" t="n"/>
      <c r="J13" s="11" t="n">
        <v>1</v>
      </c>
      <c r="K13" s="11" t="inlineStr">
        <is>
          <t>principal</t>
        </is>
      </c>
      <c r="L13" s="11" t="n"/>
      <c r="M13" s="11" t="n"/>
      <c r="N13" s="16" t="n"/>
      <c r="O13" s="11" t="n"/>
      <c r="P13" s="11" t="n"/>
      <c r="Q13" s="17" t="n"/>
      <c r="R13" s="10">
        <f>IFERROR(IF(Q13="","",TODAY()-Q13),"")</f>
        <v/>
      </c>
      <c r="S13" s="11" t="inlineStr"/>
    </row>
    <row r="14">
      <c r="A14" s="2" t="n">
        <v>13</v>
      </c>
      <c r="B14" s="2" t="inlineStr">
        <is>
          <t>Rent</t>
        </is>
      </c>
      <c r="C14" s="3" t="inlineStr">
        <is>
          <t>https://www.idealista.com/inmueble/111295915/</t>
        </is>
      </c>
      <c r="D14" s="2" t="inlineStr">
        <is>
          <t>Alquiler de piso en Calle de Santa María, 36</t>
        </is>
      </c>
      <c r="E14" s="4" t="n"/>
      <c r="F14" s="5" t="n">
        <v>1700</v>
      </c>
      <c r="G14" s="6" t="n">
        <v>65</v>
      </c>
      <c r="H14" s="7">
        <f>IFERROR(IF(AND(F14&gt;0,G14&gt;0),F14/G14,""),"")</f>
        <v/>
      </c>
      <c r="I14" s="2" t="n">
        <v>2</v>
      </c>
      <c r="J14" s="2" t="n">
        <v>1</v>
      </c>
      <c r="K14" s="2" t="inlineStr">
        <is>
          <t>principal</t>
        </is>
      </c>
      <c r="L14" s="2" t="n"/>
      <c r="M14" s="2" t="n"/>
      <c r="N14" s="8" t="n"/>
      <c r="O14" s="2" t="n"/>
      <c r="P14" s="2" t="n"/>
      <c r="Q14" s="9" t="n"/>
      <c r="R14" s="10">
        <f>IFERROR(IF(Q14="","",TODAY()-Q14),"")</f>
        <v/>
      </c>
      <c r="S14" s="2" t="inlineStr"/>
    </row>
    <row r="15">
      <c r="A15" s="11" t="n">
        <v>14</v>
      </c>
      <c r="B15" s="11" t="inlineStr">
        <is>
          <t>Rent</t>
        </is>
      </c>
      <c r="C15" s="12" t="inlineStr">
        <is>
          <t>https://www.idealista.com/inmueble/111295893/</t>
        </is>
      </c>
      <c r="D15" s="11" t="inlineStr">
        <is>
          <t>Alquiler de piso en Calle del Conde de Romanones s/n</t>
        </is>
      </c>
      <c r="E15" s="13" t="n"/>
      <c r="F15" s="14" t="n">
        <v>1695</v>
      </c>
      <c r="G15" s="15" t="n">
        <v>60</v>
      </c>
      <c r="H15" s="7">
        <f>IFERROR(IF(AND(F15&gt;0,G15&gt;0),F15/G15,""),"")</f>
        <v/>
      </c>
      <c r="I15" s="11" t="n">
        <v>2</v>
      </c>
      <c r="J15" s="11" t="n">
        <v>1</v>
      </c>
      <c r="K15" s="11" t="inlineStr">
        <is>
          <t>principal</t>
        </is>
      </c>
      <c r="L15" s="11" t="n"/>
      <c r="M15" s="11" t="n"/>
      <c r="N15" s="16" t="n"/>
      <c r="O15" s="11" t="n"/>
      <c r="P15" s="11" t="n"/>
      <c r="Q15" s="17" t="n"/>
      <c r="R15" s="10">
        <f>IFERROR(IF(Q15="","",TODAY()-Q15),"")</f>
        <v/>
      </c>
      <c r="S15" s="11" t="inlineStr"/>
    </row>
    <row r="16">
      <c r="A16" s="2" t="n">
        <v>15</v>
      </c>
      <c r="B16" s="2" t="inlineStr">
        <is>
          <t>Rent</t>
        </is>
      </c>
      <c r="C16" s="3" t="inlineStr">
        <is>
          <t>https://www.idealista.com/inmueble/111294588/</t>
        </is>
      </c>
      <c r="D16" s="2" t="inlineStr">
        <is>
          <t>Alquiler de piso en Amparo, 29</t>
        </is>
      </c>
      <c r="E16" s="4" t="n"/>
      <c r="F16" s="5" t="n">
        <v>1100</v>
      </c>
      <c r="G16" s="6" t="n">
        <v>54</v>
      </c>
      <c r="H16" s="7">
        <f>IFERROR(IF(AND(F16&gt;0,G16&gt;0),F16/G16,""),"")</f>
        <v/>
      </c>
      <c r="I16" s="2" t="n">
        <v>1</v>
      </c>
      <c r="J16" s="2" t="n">
        <v>1</v>
      </c>
      <c r="K16" s="2" t="inlineStr">
        <is>
          <t>principal</t>
        </is>
      </c>
      <c r="L16" s="2" t="n"/>
      <c r="M16" s="2" t="n"/>
      <c r="N16" s="8" t="n"/>
      <c r="O16" s="2" t="n"/>
      <c r="P16" s="2" t="n"/>
      <c r="Q16" s="9" t="n"/>
      <c r="R16" s="10">
        <f>IFERROR(IF(Q16="","",TODAY()-Q16),"")</f>
        <v/>
      </c>
      <c r="S16" s="2" t="inlineStr"/>
    </row>
    <row r="17">
      <c r="A17" s="11" t="n">
        <v>16</v>
      </c>
      <c r="B17" s="11" t="inlineStr">
        <is>
          <t>Rent</t>
        </is>
      </c>
      <c r="C17" s="12" t="inlineStr">
        <is>
          <t>https://www.idealista.com/inmueble/99174937/</t>
        </is>
      </c>
      <c r="D17" s="11" t="inlineStr">
        <is>
          <t>Alquiler de estudio en Calle del Salitre, 44</t>
        </is>
      </c>
      <c r="E17" s="13" t="n"/>
      <c r="F17" s="14" t="n">
        <v>850</v>
      </c>
      <c r="G17" s="15" t="n">
        <v>25</v>
      </c>
      <c r="H17" s="7">
        <f>IFERROR(IF(AND(F17&gt;0,G17&gt;0),F17/G17,""),"")</f>
        <v/>
      </c>
      <c r="I17" s="11" t="n"/>
      <c r="J17" s="11" t="n">
        <v>1</v>
      </c>
      <c r="K17" s="11" t="inlineStr">
        <is>
          <t>principal</t>
        </is>
      </c>
      <c r="L17" s="11" t="n"/>
      <c r="M17" s="11" t="n"/>
      <c r="N17" s="16" t="n"/>
      <c r="O17" s="11" t="n"/>
      <c r="P17" s="11" t="n"/>
      <c r="Q17" s="17" t="n"/>
      <c r="R17" s="10">
        <f>IFERROR(IF(Q17="","",TODAY()-Q17),"")</f>
        <v/>
      </c>
      <c r="S17" s="11" t="inlineStr"/>
    </row>
    <row r="18">
      <c r="A18" s="2" t="n">
        <v>17</v>
      </c>
      <c r="B18" s="2" t="inlineStr">
        <is>
          <t>Rent</t>
        </is>
      </c>
      <c r="C18" s="3" t="inlineStr">
        <is>
          <t>https://www.idealista.com/inmueble/111293407/</t>
        </is>
      </c>
      <c r="D18" s="2" t="inlineStr">
        <is>
          <t>Alquiler de piso en Recoletos</t>
        </is>
      </c>
      <c r="E18" s="4" t="n"/>
      <c r="F18" s="5" t="n">
        <v>5000</v>
      </c>
      <c r="G18" s="6" t="n">
        <v>225</v>
      </c>
      <c r="H18" s="7">
        <f>IFERROR(IF(AND(F18&gt;0,G18&gt;0),F18/G18,""),"")</f>
        <v/>
      </c>
      <c r="I18" s="2" t="n">
        <v>3</v>
      </c>
      <c r="J18" s="2" t="n">
        <v>3</v>
      </c>
      <c r="K18" s="2" t="inlineStr">
        <is>
          <t>principal</t>
        </is>
      </c>
      <c r="L18" s="2" t="n"/>
      <c r="M18" s="2" t="n"/>
      <c r="N18" s="8" t="n"/>
      <c r="O18" s="2" t="n"/>
      <c r="P18" s="2" t="n"/>
      <c r="Q18" s="9" t="n">
        <v>46138</v>
      </c>
      <c r="R18" s="10">
        <f>IFERROR(IF(Q18="","",TODAY()-Q18),"")</f>
        <v/>
      </c>
      <c r="S18" s="2" t="inlineStr"/>
    </row>
    <row r="19">
      <c r="A19" s="11" t="n">
        <v>18</v>
      </c>
      <c r="B19" s="11" t="inlineStr">
        <is>
          <t>Rent</t>
        </is>
      </c>
      <c r="C19" s="12" t="inlineStr">
        <is>
          <t>https://www.idealista.com/inmueble/104791906/</t>
        </is>
      </c>
      <c r="D19" s="11" t="inlineStr">
        <is>
          <t>Alquiler de piso en Calle de Fuencarral, 9</t>
        </is>
      </c>
      <c r="E19" s="13" t="n"/>
      <c r="F19" s="14" t="n">
        <v>2300</v>
      </c>
      <c r="G19" s="15" t="n">
        <v>90</v>
      </c>
      <c r="H19" s="7">
        <f>IFERROR(IF(AND(F19&gt;0,G19&gt;0),F19/G19,""),"")</f>
        <v/>
      </c>
      <c r="I19" s="11" t="n">
        <v>1</v>
      </c>
      <c r="J19" s="11" t="n">
        <v>1</v>
      </c>
      <c r="K19" s="11" t="inlineStr">
        <is>
          <t>principal</t>
        </is>
      </c>
      <c r="L19" s="11" t="n"/>
      <c r="M19" s="11" t="n"/>
      <c r="N19" s="16" t="n"/>
      <c r="O19" s="11" t="n"/>
      <c r="P19" s="11" t="n"/>
      <c r="Q19" s="17" t="n"/>
      <c r="R19" s="10">
        <f>IFERROR(IF(Q19="","",TODAY()-Q19),"")</f>
        <v/>
      </c>
      <c r="S19" s="11" t="inlineStr"/>
    </row>
    <row r="20">
      <c r="A20" s="2" t="n">
        <v>19</v>
      </c>
      <c r="B20" s="2" t="inlineStr">
        <is>
          <t>Rent</t>
        </is>
      </c>
      <c r="C20" s="3" t="inlineStr">
        <is>
          <t>https://www.idealista.com/inmueble/111292918/</t>
        </is>
      </c>
      <c r="D20" s="2" t="inlineStr">
        <is>
          <t>Alquiler de piso en Plaza de Tirso de Molina</t>
        </is>
      </c>
      <c r="E20" s="4" t="n"/>
      <c r="F20" s="5" t="n">
        <v>1200</v>
      </c>
      <c r="G20" s="6" t="n">
        <v>40</v>
      </c>
      <c r="H20" s="7">
        <f>IFERROR(IF(AND(F20&gt;0,G20&gt;0),F20/G20,""),"")</f>
        <v/>
      </c>
      <c r="I20" s="2" t="n">
        <v>1</v>
      </c>
      <c r="J20" s="2" t="n">
        <v>1</v>
      </c>
      <c r="K20" s="2" t="inlineStr">
        <is>
          <t>principal</t>
        </is>
      </c>
      <c r="L20" s="2" t="n"/>
      <c r="M20" s="2" t="n"/>
      <c r="N20" s="8" t="n"/>
      <c r="O20" s="2" t="n"/>
      <c r="P20" s="2" t="n"/>
      <c r="Q20" s="9" t="n"/>
      <c r="R20" s="10">
        <f>IFERROR(IF(Q20="","",TODAY()-Q20),"")</f>
        <v/>
      </c>
      <c r="S20" s="2" t="inlineStr"/>
    </row>
    <row r="21">
      <c r="A21" s="11" t="n">
        <v>20</v>
      </c>
      <c r="B21" s="11" t="inlineStr">
        <is>
          <t>Rent</t>
        </is>
      </c>
      <c r="C21" s="12" t="inlineStr">
        <is>
          <t>https://www.idealista.com/inmueble/111292908/</t>
        </is>
      </c>
      <c r="D21" s="11" t="inlineStr">
        <is>
          <t>Alquiler de estudio en Plaza de Tirso de Molina</t>
        </is>
      </c>
      <c r="E21" s="13" t="n"/>
      <c r="F21" s="14" t="n">
        <v>850</v>
      </c>
      <c r="G21" s="15" t="n">
        <v>30</v>
      </c>
      <c r="H21" s="7">
        <f>IFERROR(IF(AND(F21&gt;0,G21&gt;0),F21/G21,""),"")</f>
        <v/>
      </c>
      <c r="I21" s="11" t="n"/>
      <c r="J21" s="11" t="n">
        <v>1</v>
      </c>
      <c r="K21" s="11" t="inlineStr">
        <is>
          <t>principal</t>
        </is>
      </c>
      <c r="L21" s="11" t="n"/>
      <c r="M21" s="11" t="n"/>
      <c r="N21" s="16" t="n"/>
      <c r="O21" s="11" t="n"/>
      <c r="P21" s="11" t="n"/>
      <c r="Q21" s="17" t="n"/>
      <c r="R21" s="10">
        <f>IFERROR(IF(Q21="","",TODAY()-Q21),"")</f>
        <v/>
      </c>
      <c r="S21" s="11" t="inlineStr"/>
    </row>
    <row r="22">
      <c r="A22" s="2" t="n">
        <v>21</v>
      </c>
      <c r="B22" s="2" t="inlineStr">
        <is>
          <t>Rent</t>
        </is>
      </c>
      <c r="C22" s="3" t="inlineStr">
        <is>
          <t>https://www.idealista.com/inmueble/111291767/</t>
        </is>
      </c>
      <c r="D22" s="2" t="inlineStr">
        <is>
          <t>Alquiler de piso en Calle de la Madera, 8</t>
        </is>
      </c>
      <c r="E22" s="4" t="n"/>
      <c r="F22" s="5" t="n">
        <v>1000</v>
      </c>
      <c r="G22" s="6" t="n">
        <v>30</v>
      </c>
      <c r="H22" s="7">
        <f>IFERROR(IF(AND(F22&gt;0,G22&gt;0),F22/G22,""),"")</f>
        <v/>
      </c>
      <c r="I22" s="2" t="n">
        <v>1</v>
      </c>
      <c r="J22" s="2" t="n">
        <v>1</v>
      </c>
      <c r="K22" s="2" t="inlineStr">
        <is>
          <t>principal</t>
        </is>
      </c>
      <c r="L22" s="2" t="n"/>
      <c r="M22" s="2" t="n"/>
      <c r="N22" s="8" t="n"/>
      <c r="O22" s="2" t="n"/>
      <c r="P22" s="2" t="n"/>
      <c r="Q22" s="9" t="n"/>
      <c r="R22" s="10">
        <f>IFERROR(IF(Q22="","",TODAY()-Q22),"")</f>
        <v/>
      </c>
      <c r="S22" s="2" t="inlineStr"/>
    </row>
    <row r="23">
      <c r="A23" s="11" t="n">
        <v>22</v>
      </c>
      <c r="B23" s="11" t="inlineStr">
        <is>
          <t>Rent</t>
        </is>
      </c>
      <c r="C23" s="12" t="inlineStr">
        <is>
          <t>https://www.idealista.com/inmueble/111289237/</t>
        </is>
      </c>
      <c r="D23" s="11" t="inlineStr">
        <is>
          <t>Alquiler de piso en Calle del Prado, 3</t>
        </is>
      </c>
      <c r="E23" s="13" t="n"/>
      <c r="F23" s="14" t="n">
        <v>1950</v>
      </c>
      <c r="G23" s="15" t="n">
        <v>55</v>
      </c>
      <c r="H23" s="7">
        <f>IFERROR(IF(AND(F23&gt;0,G23&gt;0),F23/G23,""),"")</f>
        <v/>
      </c>
      <c r="I23" s="11" t="n">
        <v>1</v>
      </c>
      <c r="J23" s="11" t="n">
        <v>1</v>
      </c>
      <c r="K23" s="11" t="inlineStr">
        <is>
          <t>principal</t>
        </is>
      </c>
      <c r="L23" s="11" t="n"/>
      <c r="M23" s="11" t="n"/>
      <c r="N23" s="16" t="n"/>
      <c r="O23" s="11" t="n"/>
      <c r="P23" s="11" t="n"/>
      <c r="Q23" s="17" t="n"/>
      <c r="R23" s="10">
        <f>IFERROR(IF(Q23="","",TODAY()-Q23),"")</f>
        <v/>
      </c>
      <c r="S23" s="11" t="inlineStr"/>
    </row>
    <row r="24">
      <c r="A24" s="2" t="n">
        <v>23</v>
      </c>
      <c r="B24" s="2" t="inlineStr">
        <is>
          <t>Rent</t>
        </is>
      </c>
      <c r="C24" s="3" t="inlineStr">
        <is>
          <t>https://www.idealista.com/inmueble/111289497/</t>
        </is>
      </c>
      <c r="D24" s="2" t="inlineStr">
        <is>
          <t>Alquiler de ático en Calle de la Libertad, 25</t>
        </is>
      </c>
      <c r="E24" s="4" t="n"/>
      <c r="F24" s="5" t="n">
        <v>1400</v>
      </c>
      <c r="G24" s="6" t="n">
        <v>55</v>
      </c>
      <c r="H24" s="7">
        <f>IFERROR(IF(AND(F24&gt;0,G24&gt;0),F24/G24,""),"")</f>
        <v/>
      </c>
      <c r="I24" s="2" t="n">
        <v>1</v>
      </c>
      <c r="J24" s="2" t="n">
        <v>1</v>
      </c>
      <c r="K24" s="2" t="inlineStr">
        <is>
          <t>ático</t>
        </is>
      </c>
      <c r="L24" s="2" t="n"/>
      <c r="M24" s="2" t="n"/>
      <c r="N24" s="8" t="n"/>
      <c r="O24" s="2" t="n"/>
      <c r="P24" s="2" t="n"/>
      <c r="Q24" s="9" t="n"/>
      <c r="R24" s="10">
        <f>IFERROR(IF(Q24="","",TODAY()-Q24),"")</f>
        <v/>
      </c>
      <c r="S24" s="2" t="inlineStr"/>
    </row>
    <row r="25">
      <c r="A25" s="11" t="n">
        <v>24</v>
      </c>
      <c r="B25" s="11" t="inlineStr">
        <is>
          <t>Rent</t>
        </is>
      </c>
      <c r="C25" s="12" t="inlineStr">
        <is>
          <t>https://www.idealista.com/inmueble/111278729/</t>
        </is>
      </c>
      <c r="D25" s="11" t="inlineStr">
        <is>
          <t>Alquiler de piso en Calle de Santa María</t>
        </is>
      </c>
      <c r="E25" s="13" t="n"/>
      <c r="F25" s="14" t="n">
        <v>1250</v>
      </c>
      <c r="G25" s="15" t="n">
        <v>30</v>
      </c>
      <c r="H25" s="7">
        <f>IFERROR(IF(AND(F25&gt;0,G25&gt;0),F25/G25,""),"")</f>
        <v/>
      </c>
      <c r="I25" s="11" t="n">
        <v>1</v>
      </c>
      <c r="J25" s="11" t="n">
        <v>1</v>
      </c>
      <c r="K25" s="11" t="inlineStr">
        <is>
          <t>principal</t>
        </is>
      </c>
      <c r="L25" s="11" t="n"/>
      <c r="M25" s="11" t="n"/>
      <c r="N25" s="16" t="n"/>
      <c r="O25" s="11" t="n"/>
      <c r="P25" s="11" t="n"/>
      <c r="Q25" s="17" t="n"/>
      <c r="R25" s="10">
        <f>IFERROR(IF(Q25="","",TODAY()-Q25),"")</f>
        <v/>
      </c>
      <c r="S25" s="11" t="inlineStr"/>
    </row>
    <row r="26">
      <c r="A26" s="2" t="n">
        <v>25</v>
      </c>
      <c r="B26" s="2" t="inlineStr">
        <is>
          <t>Rent</t>
        </is>
      </c>
      <c r="C26" s="3" t="inlineStr">
        <is>
          <t>https://www.idealista.com/inmueble/111292394/</t>
        </is>
      </c>
      <c r="D26" s="2" t="inlineStr">
        <is>
          <t>Alquiler de piso en Calle de Argumosa</t>
        </is>
      </c>
      <c r="E26" s="4" t="n"/>
      <c r="F26" s="5" t="n">
        <v>1300</v>
      </c>
      <c r="G26" s="6" t="n">
        <v>51</v>
      </c>
      <c r="H26" s="7">
        <f>IFERROR(IF(AND(F26&gt;0,G26&gt;0),F26/G26,""),"")</f>
        <v/>
      </c>
      <c r="I26" s="2" t="n">
        <v>1</v>
      </c>
      <c r="J26" s="2" t="n">
        <v>1</v>
      </c>
      <c r="K26" s="2" t="inlineStr">
        <is>
          <t>principal</t>
        </is>
      </c>
      <c r="L26" s="2" t="n"/>
      <c r="M26" s="2" t="n"/>
      <c r="N26" s="8" t="n"/>
      <c r="O26" s="2" t="n"/>
      <c r="P26" s="2" t="n"/>
      <c r="Q26" s="9" t="n"/>
      <c r="R26" s="10">
        <f>IFERROR(IF(Q26="","",TODAY()-Q26),"")</f>
        <v/>
      </c>
      <c r="S26" s="2" t="inlineStr"/>
    </row>
    <row r="27">
      <c r="A27" s="11" t="n">
        <v>26</v>
      </c>
      <c r="B27" s="11" t="inlineStr">
        <is>
          <t>Rent</t>
        </is>
      </c>
      <c r="C27" s="12" t="inlineStr">
        <is>
          <t>https://www.idealista.com/inmueble/111279789/</t>
        </is>
      </c>
      <c r="D27" s="11" t="inlineStr">
        <is>
          <t>Alquiler de piso en Lavapiés-Embajadores</t>
        </is>
      </c>
      <c r="E27" s="13" t="n"/>
      <c r="F27" s="14" t="n">
        <v>750</v>
      </c>
      <c r="G27" s="15" t="n">
        <v>21</v>
      </c>
      <c r="H27" s="7">
        <f>IFERROR(IF(AND(F27&gt;0,G27&gt;0),F27/G27,""),"")</f>
        <v/>
      </c>
      <c r="I27" s="11" t="n">
        <v>1</v>
      </c>
      <c r="J27" s="11" t="n">
        <v>1</v>
      </c>
      <c r="K27" s="11" t="inlineStr">
        <is>
          <t>principal</t>
        </is>
      </c>
      <c r="L27" s="11" t="n"/>
      <c r="M27" s="11" t="n"/>
      <c r="N27" s="16" t="n"/>
      <c r="O27" s="11" t="n"/>
      <c r="P27" s="11" t="n"/>
      <c r="Q27" s="17" t="n"/>
      <c r="R27" s="10">
        <f>IFERROR(IF(Q27="","",TODAY()-Q27),"")</f>
        <v/>
      </c>
      <c r="S27" s="11" t="inlineStr"/>
    </row>
    <row r="28">
      <c r="A28" s="2" t="n">
        <v>27</v>
      </c>
      <c r="B28" s="2" t="inlineStr">
        <is>
          <t>Rent</t>
        </is>
      </c>
      <c r="C28" s="3" t="inlineStr">
        <is>
          <t>https://www.idealista.com/inmueble/111292308/</t>
        </is>
      </c>
      <c r="D28" s="2" t="inlineStr">
        <is>
          <t>Alquiler de piso en Calle de Hortaleza</t>
        </is>
      </c>
      <c r="E28" s="4" t="n"/>
      <c r="F28" s="5" t="n">
        <v>1250</v>
      </c>
      <c r="G28" s="6" t="n">
        <v>35</v>
      </c>
      <c r="H28" s="7">
        <f>IFERROR(IF(AND(F28&gt;0,G28&gt;0),F28/G28,""),"")</f>
        <v/>
      </c>
      <c r="I28" s="2" t="n">
        <v>1</v>
      </c>
      <c r="J28" s="2" t="n">
        <v>1</v>
      </c>
      <c r="K28" s="2" t="inlineStr">
        <is>
          <t>principal</t>
        </is>
      </c>
      <c r="L28" s="2" t="n"/>
      <c r="M28" s="2" t="n"/>
      <c r="N28" s="8" t="n"/>
      <c r="O28" s="2" t="n"/>
      <c r="P28" s="2" t="n"/>
      <c r="Q28" s="9" t="n"/>
      <c r="R28" s="10">
        <f>IFERROR(IF(Q28="","",TODAY()-Q28),"")</f>
        <v/>
      </c>
      <c r="S28" s="2" t="inlineStr"/>
    </row>
    <row r="29">
      <c r="A29" s="11" t="n">
        <v>28</v>
      </c>
      <c r="B29" s="11" t="inlineStr">
        <is>
          <t>Rent</t>
        </is>
      </c>
      <c r="C29" s="12" t="inlineStr">
        <is>
          <t>https://www.idealista.com/inmueble/111291465/</t>
        </is>
      </c>
      <c r="D29" s="11" t="inlineStr">
        <is>
          <t>Alquiler de estudio en Lavapiés-Embajadores</t>
        </is>
      </c>
      <c r="E29" s="13" t="n"/>
      <c r="F29" s="14" t="n">
        <v>1200</v>
      </c>
      <c r="G29" s="15" t="n">
        <v>30</v>
      </c>
      <c r="H29" s="7">
        <f>IFERROR(IF(AND(F29&gt;0,G29&gt;0),F29/G29,""),"")</f>
        <v/>
      </c>
      <c r="I29" s="11" t="n"/>
      <c r="J29" s="11" t="n">
        <v>1</v>
      </c>
      <c r="K29" s="11" t="inlineStr">
        <is>
          <t>principal</t>
        </is>
      </c>
      <c r="L29" s="11" t="n"/>
      <c r="M29" s="11" t="n"/>
      <c r="N29" s="16" t="n"/>
      <c r="O29" s="11" t="n"/>
      <c r="P29" s="11" t="n"/>
      <c r="Q29" s="17" t="n"/>
      <c r="R29" s="10">
        <f>IFERROR(IF(Q29="","",TODAY()-Q29),"")</f>
        <v/>
      </c>
      <c r="S29" s="11" t="inlineStr"/>
    </row>
    <row r="30">
      <c r="A30" s="2" t="n">
        <v>29</v>
      </c>
      <c r="B30" s="2" t="inlineStr">
        <is>
          <t>Rent</t>
        </is>
      </c>
      <c r="C30" s="3" t="inlineStr">
        <is>
          <t>https://www.idealista.com/inmueble/111291442/</t>
        </is>
      </c>
      <c r="D30" s="2" t="inlineStr">
        <is>
          <t>Alquiler de piso en Huertas-Cortes</t>
        </is>
      </c>
      <c r="E30" s="4" t="n"/>
      <c r="F30" s="5" t="n">
        <v>1300</v>
      </c>
      <c r="G30" s="6" t="n">
        <v>54</v>
      </c>
      <c r="H30" s="7">
        <f>IFERROR(IF(AND(F30&gt;0,G30&gt;0),F30/G30,""),"")</f>
        <v/>
      </c>
      <c r="I30" s="2" t="n">
        <v>1</v>
      </c>
      <c r="J30" s="2" t="n">
        <v>1</v>
      </c>
      <c r="K30" s="2" t="inlineStr">
        <is>
          <t>principal</t>
        </is>
      </c>
      <c r="L30" s="2" t="n"/>
      <c r="M30" s="2" t="n"/>
      <c r="N30" s="8" t="n"/>
      <c r="O30" s="2" t="n"/>
      <c r="P30" s="2" t="n"/>
      <c r="Q30" s="9" t="n"/>
      <c r="R30" s="10">
        <f>IFERROR(IF(Q30="","",TODAY()-Q30),"")</f>
        <v/>
      </c>
      <c r="S30" s="2" t="inlineStr"/>
    </row>
    <row r="31">
      <c r="A31" s="11" t="n">
        <v>30</v>
      </c>
      <c r="B31" s="11" t="inlineStr">
        <is>
          <t>Rent</t>
        </is>
      </c>
      <c r="C31" s="12" t="inlineStr">
        <is>
          <t>https://www.idealista.com/inmueble/111236832/</t>
        </is>
      </c>
      <c r="D31" s="11" t="inlineStr">
        <is>
          <t>Alquiler de ático en Calle de la Cabeza, 40</t>
        </is>
      </c>
      <c r="E31" s="13" t="n"/>
      <c r="F31" s="14" t="n">
        <v>1250</v>
      </c>
      <c r="G31" s="15" t="n">
        <v>63</v>
      </c>
      <c r="H31" s="7">
        <f>IFERROR(IF(AND(F31&gt;0,G31&gt;0),F31/G31,""),"")</f>
        <v/>
      </c>
      <c r="I31" s="11" t="n">
        <v>1</v>
      </c>
      <c r="J31" s="11" t="n">
        <v>1</v>
      </c>
      <c r="K31" s="11" t="inlineStr">
        <is>
          <t>ático</t>
        </is>
      </c>
      <c r="L31" s="11" t="n"/>
      <c r="M31" s="11" t="n"/>
      <c r="N31" s="16" t="n"/>
      <c r="O31" s="11" t="n"/>
      <c r="P31" s="11" t="n"/>
      <c r="Q31" s="17" t="n"/>
      <c r="R31" s="10">
        <f>IFERROR(IF(Q31="","",TODAY()-Q31),"")</f>
        <v/>
      </c>
      <c r="S31" s="11" t="inlineStr"/>
    </row>
    <row r="32">
      <c r="A32" s="18" t="n"/>
      <c r="B32" s="18" t="n"/>
      <c r="C32" s="18" t="n"/>
      <c r="D32" s="18" t="n"/>
      <c r="E32" s="19" t="n"/>
      <c r="F32" s="20" t="n"/>
      <c r="G32" s="21" t="n"/>
      <c r="H32" s="7">
        <f>IFERROR(IF(AND(F32&gt;0,G32&gt;0),F32/G32,""),"")</f>
        <v/>
      </c>
      <c r="I32" s="18" t="n"/>
      <c r="J32" s="18" t="n"/>
      <c r="K32" s="18" t="n"/>
      <c r="L32" s="18" t="n"/>
      <c r="M32" s="18" t="n"/>
      <c r="N32" s="22" t="n"/>
      <c r="O32" s="18" t="n"/>
      <c r="P32" s="18" t="n"/>
      <c r="Q32" s="23" t="n"/>
      <c r="R32" s="10">
        <f>IFERROR(IF(Q32="","",TODAY()-Q32),"")</f>
        <v/>
      </c>
      <c r="S32" s="18" t="n"/>
    </row>
    <row r="33">
      <c r="E33" s="24" t="n"/>
      <c r="F33" s="25" t="n"/>
      <c r="G33" s="26" t="n"/>
      <c r="H33" s="7">
        <f>IFERROR(IF(AND(F33&gt;0,G33&gt;0),F33/G33,""),"")</f>
        <v/>
      </c>
      <c r="N33" s="27" t="n"/>
      <c r="Q33" s="28" t="n"/>
      <c r="R33" s="10">
        <f>IFERROR(IF(Q33="","",TODAY()-Q33),"")</f>
        <v/>
      </c>
    </row>
    <row r="34">
      <c r="A34" s="18" t="n"/>
      <c r="B34" s="18" t="n"/>
      <c r="C34" s="18" t="n"/>
      <c r="D34" s="18" t="n"/>
      <c r="E34" s="19" t="n"/>
      <c r="F34" s="20" t="n"/>
      <c r="G34" s="21" t="n"/>
      <c r="H34" s="7">
        <f>IFERROR(IF(AND(F34&gt;0,G34&gt;0),F34/G34,""),"")</f>
        <v/>
      </c>
      <c r="I34" s="18" t="n"/>
      <c r="J34" s="18" t="n"/>
      <c r="K34" s="18" t="n"/>
      <c r="L34" s="18" t="n"/>
      <c r="M34" s="18" t="n"/>
      <c r="N34" s="22" t="n"/>
      <c r="O34" s="18" t="n"/>
      <c r="P34" s="18" t="n"/>
      <c r="Q34" s="23" t="n"/>
      <c r="R34" s="10">
        <f>IFERROR(IF(Q34="","",TODAY()-Q34),"")</f>
        <v/>
      </c>
      <c r="S34" s="18" t="n"/>
    </row>
    <row r="35">
      <c r="E35" s="24" t="n"/>
      <c r="F35" s="25" t="n"/>
      <c r="G35" s="26" t="n"/>
      <c r="H35" s="7">
        <f>IFERROR(IF(AND(F35&gt;0,G35&gt;0),F35/G35,""),"")</f>
        <v/>
      </c>
      <c r="N35" s="27" t="n"/>
      <c r="Q35" s="28" t="n"/>
      <c r="R35" s="10">
        <f>IFERROR(IF(Q35="","",TODAY()-Q35),"")</f>
        <v/>
      </c>
    </row>
    <row r="36">
      <c r="A36" s="18" t="n"/>
      <c r="B36" s="18" t="n"/>
      <c r="C36" s="18" t="n"/>
      <c r="D36" s="18" t="n"/>
      <c r="E36" s="19" t="n"/>
      <c r="F36" s="20" t="n"/>
      <c r="G36" s="21" t="n"/>
      <c r="H36" s="7">
        <f>IFERROR(IF(AND(F36&gt;0,G36&gt;0),F36/G36,""),"")</f>
        <v/>
      </c>
      <c r="I36" s="18" t="n"/>
      <c r="J36" s="18" t="n"/>
      <c r="K36" s="18" t="n"/>
      <c r="L36" s="18" t="n"/>
      <c r="M36" s="18" t="n"/>
      <c r="N36" s="22" t="n"/>
      <c r="O36" s="18" t="n"/>
      <c r="P36" s="18" t="n"/>
      <c r="Q36" s="23" t="n"/>
      <c r="R36" s="10">
        <f>IFERROR(IF(Q36="","",TODAY()-Q36),"")</f>
        <v/>
      </c>
      <c r="S36" s="18" t="n"/>
    </row>
    <row r="37">
      <c r="E37" s="24" t="n"/>
      <c r="F37" s="25" t="n"/>
      <c r="G37" s="26" t="n"/>
      <c r="H37" s="7">
        <f>IFERROR(IF(AND(F37&gt;0,G37&gt;0),F37/G37,""),"")</f>
        <v/>
      </c>
      <c r="N37" s="27" t="n"/>
      <c r="Q37" s="28" t="n"/>
      <c r="R37" s="10">
        <f>IFERROR(IF(Q37="","",TODAY()-Q37),"")</f>
        <v/>
      </c>
    </row>
    <row r="38">
      <c r="A38" s="18" t="n"/>
      <c r="B38" s="18" t="n"/>
      <c r="C38" s="18" t="n"/>
      <c r="D38" s="18" t="n"/>
      <c r="E38" s="19" t="n"/>
      <c r="F38" s="20" t="n"/>
      <c r="G38" s="21" t="n"/>
      <c r="H38" s="7">
        <f>IFERROR(IF(AND(F38&gt;0,G38&gt;0),F38/G38,""),"")</f>
        <v/>
      </c>
      <c r="I38" s="18" t="n"/>
      <c r="J38" s="18" t="n"/>
      <c r="K38" s="18" t="n"/>
      <c r="L38" s="18" t="n"/>
      <c r="M38" s="18" t="n"/>
      <c r="N38" s="22" t="n"/>
      <c r="O38" s="18" t="n"/>
      <c r="P38" s="18" t="n"/>
      <c r="Q38" s="23" t="n"/>
      <c r="R38" s="10">
        <f>IFERROR(IF(Q38="","",TODAY()-Q38),"")</f>
        <v/>
      </c>
      <c r="S38" s="18" t="n"/>
    </row>
    <row r="39">
      <c r="E39" s="24" t="n"/>
      <c r="F39" s="25" t="n"/>
      <c r="G39" s="26" t="n"/>
      <c r="H39" s="7">
        <f>IFERROR(IF(AND(F39&gt;0,G39&gt;0),F39/G39,""),"")</f>
        <v/>
      </c>
      <c r="N39" s="27" t="n"/>
      <c r="Q39" s="28" t="n"/>
      <c r="R39" s="10">
        <f>IFERROR(IF(Q39="","",TODAY()-Q39),"")</f>
        <v/>
      </c>
    </row>
    <row r="40">
      <c r="A40" s="18" t="n"/>
      <c r="B40" s="18" t="n"/>
      <c r="C40" s="18" t="n"/>
      <c r="D40" s="18" t="n"/>
      <c r="E40" s="19" t="n"/>
      <c r="F40" s="20" t="n"/>
      <c r="G40" s="21" t="n"/>
      <c r="H40" s="7">
        <f>IFERROR(IF(AND(F40&gt;0,G40&gt;0),F40/G40,""),"")</f>
        <v/>
      </c>
      <c r="I40" s="18" t="n"/>
      <c r="J40" s="18" t="n"/>
      <c r="K40" s="18" t="n"/>
      <c r="L40" s="18" t="n"/>
      <c r="M40" s="18" t="n"/>
      <c r="N40" s="22" t="n"/>
      <c r="O40" s="18" t="n"/>
      <c r="P40" s="18" t="n"/>
      <c r="Q40" s="23" t="n"/>
      <c r="R40" s="10">
        <f>IFERROR(IF(Q40="","",TODAY()-Q40),"")</f>
        <v/>
      </c>
      <c r="S40" s="18" t="n"/>
    </row>
    <row r="41">
      <c r="E41" s="24" t="n"/>
      <c r="F41" s="25" t="n"/>
      <c r="G41" s="26" t="n"/>
      <c r="H41" s="7">
        <f>IFERROR(IF(AND(F41&gt;0,G41&gt;0),F41/G41,""),"")</f>
        <v/>
      </c>
      <c r="N41" s="27" t="n"/>
      <c r="Q41" s="28" t="n"/>
      <c r="R41" s="10">
        <f>IFERROR(IF(Q41="","",TODAY()-Q41),"")</f>
        <v/>
      </c>
    </row>
    <row r="42">
      <c r="A42" s="18" t="n"/>
      <c r="B42" s="18" t="n"/>
      <c r="C42" s="18" t="n"/>
      <c r="D42" s="18" t="n"/>
      <c r="E42" s="19" t="n"/>
      <c r="F42" s="20" t="n"/>
      <c r="G42" s="21" t="n"/>
      <c r="H42" s="7">
        <f>IFERROR(IF(AND(F42&gt;0,G42&gt;0),F42/G42,""),"")</f>
        <v/>
      </c>
      <c r="I42" s="18" t="n"/>
      <c r="J42" s="18" t="n"/>
      <c r="K42" s="18" t="n"/>
      <c r="L42" s="18" t="n"/>
      <c r="M42" s="18" t="n"/>
      <c r="N42" s="22" t="n"/>
      <c r="O42" s="18" t="n"/>
      <c r="P42" s="18" t="n"/>
      <c r="Q42" s="23" t="n"/>
      <c r="R42" s="10">
        <f>IFERROR(IF(Q42="","",TODAY()-Q42),"")</f>
        <v/>
      </c>
      <c r="S42" s="18" t="n"/>
    </row>
    <row r="43">
      <c r="E43" s="24" t="n"/>
      <c r="F43" s="25" t="n"/>
      <c r="G43" s="26" t="n"/>
      <c r="H43" s="7">
        <f>IFERROR(IF(AND(F43&gt;0,G43&gt;0),F43/G43,""),"")</f>
        <v/>
      </c>
      <c r="N43" s="27" t="n"/>
      <c r="Q43" s="28" t="n"/>
      <c r="R43" s="10">
        <f>IFERROR(IF(Q43="","",TODAY()-Q43),"")</f>
        <v/>
      </c>
    </row>
    <row r="44">
      <c r="A44" s="18" t="n"/>
      <c r="B44" s="18" t="n"/>
      <c r="C44" s="18" t="n"/>
      <c r="D44" s="18" t="n"/>
      <c r="E44" s="19" t="n"/>
      <c r="F44" s="20" t="n"/>
      <c r="G44" s="21" t="n"/>
      <c r="H44" s="7">
        <f>IFERROR(IF(AND(F44&gt;0,G44&gt;0),F44/G44,""),"")</f>
        <v/>
      </c>
      <c r="I44" s="18" t="n"/>
      <c r="J44" s="18" t="n"/>
      <c r="K44" s="18" t="n"/>
      <c r="L44" s="18" t="n"/>
      <c r="M44" s="18" t="n"/>
      <c r="N44" s="22" t="n"/>
      <c r="O44" s="18" t="n"/>
      <c r="P44" s="18" t="n"/>
      <c r="Q44" s="23" t="n"/>
      <c r="R44" s="10">
        <f>IFERROR(IF(Q44="","",TODAY()-Q44),"")</f>
        <v/>
      </c>
      <c r="S44" s="18" t="n"/>
    </row>
    <row r="45">
      <c r="E45" s="24" t="n"/>
      <c r="F45" s="25" t="n"/>
      <c r="G45" s="26" t="n"/>
      <c r="H45" s="7">
        <f>IFERROR(IF(AND(F45&gt;0,G45&gt;0),F45/G45,""),"")</f>
        <v/>
      </c>
      <c r="N45" s="27" t="n"/>
      <c r="Q45" s="28" t="n"/>
      <c r="R45" s="10">
        <f>IFERROR(IF(Q45="","",TODAY()-Q45),"")</f>
        <v/>
      </c>
    </row>
    <row r="46">
      <c r="A46" s="18" t="n"/>
      <c r="B46" s="18" t="n"/>
      <c r="C46" s="18" t="n"/>
      <c r="D46" s="18" t="n"/>
      <c r="E46" s="19" t="n"/>
      <c r="F46" s="20" t="n"/>
      <c r="G46" s="21" t="n"/>
      <c r="H46" s="7">
        <f>IFERROR(IF(AND(F46&gt;0,G46&gt;0),F46/G46,""),"")</f>
        <v/>
      </c>
      <c r="I46" s="18" t="n"/>
      <c r="J46" s="18" t="n"/>
      <c r="K46" s="18" t="n"/>
      <c r="L46" s="18" t="n"/>
      <c r="M46" s="18" t="n"/>
      <c r="N46" s="22" t="n"/>
      <c r="O46" s="18" t="n"/>
      <c r="P46" s="18" t="n"/>
      <c r="Q46" s="23" t="n"/>
      <c r="R46" s="10">
        <f>IFERROR(IF(Q46="","",TODAY()-Q46),"")</f>
        <v/>
      </c>
      <c r="S46" s="18" t="n"/>
    </row>
    <row r="47">
      <c r="E47" s="24" t="n"/>
      <c r="F47" s="25" t="n"/>
      <c r="G47" s="26" t="n"/>
      <c r="H47" s="7">
        <f>IFERROR(IF(AND(F47&gt;0,G47&gt;0),F47/G47,""),"")</f>
        <v/>
      </c>
      <c r="N47" s="27" t="n"/>
      <c r="Q47" s="28" t="n"/>
      <c r="R47" s="10">
        <f>IFERROR(IF(Q47="","",TODAY()-Q47),"")</f>
        <v/>
      </c>
    </row>
    <row r="48">
      <c r="A48" s="18" t="n"/>
      <c r="B48" s="18" t="n"/>
      <c r="C48" s="18" t="n"/>
      <c r="D48" s="18" t="n"/>
      <c r="E48" s="19" t="n"/>
      <c r="F48" s="20" t="n"/>
      <c r="G48" s="21" t="n"/>
      <c r="H48" s="7">
        <f>IFERROR(IF(AND(F48&gt;0,G48&gt;0),F48/G48,""),"")</f>
        <v/>
      </c>
      <c r="I48" s="18" t="n"/>
      <c r="J48" s="18" t="n"/>
      <c r="K48" s="18" t="n"/>
      <c r="L48" s="18" t="n"/>
      <c r="M48" s="18" t="n"/>
      <c r="N48" s="22" t="n"/>
      <c r="O48" s="18" t="n"/>
      <c r="P48" s="18" t="n"/>
      <c r="Q48" s="23" t="n"/>
      <c r="R48" s="10">
        <f>IFERROR(IF(Q48="","",TODAY()-Q48),"")</f>
        <v/>
      </c>
      <c r="S48" s="18" t="n"/>
    </row>
    <row r="49">
      <c r="E49" s="24" t="n"/>
      <c r="F49" s="25" t="n"/>
      <c r="G49" s="26" t="n"/>
      <c r="H49" s="7">
        <f>IFERROR(IF(AND(F49&gt;0,G49&gt;0),F49/G49,""),"")</f>
        <v/>
      </c>
      <c r="N49" s="27" t="n"/>
      <c r="Q49" s="28" t="n"/>
      <c r="R49" s="10">
        <f>IFERROR(IF(Q49="","",TODAY()-Q49),"")</f>
        <v/>
      </c>
    </row>
    <row r="50">
      <c r="A50" s="18" t="n"/>
      <c r="B50" s="18" t="n"/>
      <c r="C50" s="18" t="n"/>
      <c r="D50" s="18" t="n"/>
      <c r="E50" s="19" t="n"/>
      <c r="F50" s="20" t="n"/>
      <c r="G50" s="21" t="n"/>
      <c r="H50" s="7">
        <f>IFERROR(IF(AND(F50&gt;0,G50&gt;0),F50/G50,""),"")</f>
        <v/>
      </c>
      <c r="I50" s="18" t="n"/>
      <c r="J50" s="18" t="n"/>
      <c r="K50" s="18" t="n"/>
      <c r="L50" s="18" t="n"/>
      <c r="M50" s="18" t="n"/>
      <c r="N50" s="22" t="n"/>
      <c r="O50" s="18" t="n"/>
      <c r="P50" s="18" t="n"/>
      <c r="Q50" s="23" t="n"/>
      <c r="R50" s="10">
        <f>IFERROR(IF(Q50="","",TODAY()-Q50),"")</f>
        <v/>
      </c>
      <c r="S50" s="18" t="n"/>
    </row>
    <row r="51">
      <c r="E51" s="24" t="n"/>
      <c r="F51" s="25" t="n"/>
      <c r="G51" s="26" t="n"/>
      <c r="H51" s="7">
        <f>IFERROR(IF(AND(F51&gt;0,G51&gt;0),F51/G51,""),"")</f>
        <v/>
      </c>
      <c r="N51" s="27" t="n"/>
      <c r="Q51" s="28" t="n"/>
      <c r="R51" s="10">
        <f>IFERROR(IF(Q51="","",TODAY()-Q51),"")</f>
        <v/>
      </c>
    </row>
    <row r="52">
      <c r="A52" s="18" t="n"/>
      <c r="B52" s="18" t="n"/>
      <c r="C52" s="18" t="n"/>
      <c r="D52" s="18" t="n"/>
      <c r="E52" s="19" t="n"/>
      <c r="F52" s="20" t="n"/>
      <c r="G52" s="21" t="n"/>
      <c r="H52" s="7">
        <f>IFERROR(IF(AND(F52&gt;0,G52&gt;0),F52/G52,""),"")</f>
        <v/>
      </c>
      <c r="I52" s="18" t="n"/>
      <c r="J52" s="18" t="n"/>
      <c r="K52" s="18" t="n"/>
      <c r="L52" s="18" t="n"/>
      <c r="M52" s="18" t="n"/>
      <c r="N52" s="22" t="n"/>
      <c r="O52" s="18" t="n"/>
      <c r="P52" s="18" t="n"/>
      <c r="Q52" s="23" t="n"/>
      <c r="R52" s="10">
        <f>IFERROR(IF(Q52="","",TODAY()-Q52),"")</f>
        <v/>
      </c>
      <c r="S52" s="18" t="n"/>
    </row>
    <row r="53">
      <c r="E53" s="24" t="n"/>
      <c r="F53" s="25" t="n"/>
      <c r="G53" s="26" t="n"/>
      <c r="H53" s="7">
        <f>IFERROR(IF(AND(F53&gt;0,G53&gt;0),F53/G53,""),"")</f>
        <v/>
      </c>
      <c r="N53" s="27" t="n"/>
      <c r="Q53" s="28" t="n"/>
      <c r="R53" s="10">
        <f>IFERROR(IF(Q53="","",TODAY()-Q53),"")</f>
        <v/>
      </c>
    </row>
    <row r="54">
      <c r="A54" s="18" t="n"/>
      <c r="B54" s="18" t="n"/>
      <c r="C54" s="18" t="n"/>
      <c r="D54" s="18" t="n"/>
      <c r="E54" s="19" t="n"/>
      <c r="F54" s="20" t="n"/>
      <c r="G54" s="21" t="n"/>
      <c r="H54" s="7">
        <f>IFERROR(IF(AND(F54&gt;0,G54&gt;0),F54/G54,""),"")</f>
        <v/>
      </c>
      <c r="I54" s="18" t="n"/>
      <c r="J54" s="18" t="n"/>
      <c r="K54" s="18" t="n"/>
      <c r="L54" s="18" t="n"/>
      <c r="M54" s="18" t="n"/>
      <c r="N54" s="22" t="n"/>
      <c r="O54" s="18" t="n"/>
      <c r="P54" s="18" t="n"/>
      <c r="Q54" s="23" t="n"/>
      <c r="R54" s="10">
        <f>IFERROR(IF(Q54="","",TODAY()-Q54),"")</f>
        <v/>
      </c>
      <c r="S54" s="18" t="n"/>
    </row>
    <row r="55">
      <c r="E55" s="24" t="n"/>
      <c r="F55" s="25" t="n"/>
      <c r="G55" s="26" t="n"/>
      <c r="H55" s="7">
        <f>IFERROR(IF(AND(F55&gt;0,G55&gt;0),F55/G55,""),"")</f>
        <v/>
      </c>
      <c r="N55" s="27" t="n"/>
      <c r="Q55" s="28" t="n"/>
      <c r="R55" s="10">
        <f>IFERROR(IF(Q55="","",TODAY()-Q55),"")</f>
        <v/>
      </c>
    </row>
    <row r="56">
      <c r="A56" s="18" t="n"/>
      <c r="B56" s="18" t="n"/>
      <c r="C56" s="18" t="n"/>
      <c r="D56" s="18" t="n"/>
      <c r="E56" s="19" t="n"/>
      <c r="F56" s="20" t="n"/>
      <c r="G56" s="21" t="n"/>
      <c r="H56" s="7">
        <f>IFERROR(IF(AND(F56&gt;0,G56&gt;0),F56/G56,""),"")</f>
        <v/>
      </c>
      <c r="I56" s="18" t="n"/>
      <c r="J56" s="18" t="n"/>
      <c r="K56" s="18" t="n"/>
      <c r="L56" s="18" t="n"/>
      <c r="M56" s="18" t="n"/>
      <c r="N56" s="22" t="n"/>
      <c r="O56" s="18" t="n"/>
      <c r="P56" s="18" t="n"/>
      <c r="Q56" s="23" t="n"/>
      <c r="R56" s="10">
        <f>IFERROR(IF(Q56="","",TODAY()-Q56),"")</f>
        <v/>
      </c>
      <c r="S56" s="18" t="n"/>
    </row>
    <row r="57">
      <c r="E57" s="24" t="n"/>
      <c r="F57" s="25" t="n"/>
      <c r="G57" s="26" t="n"/>
      <c r="H57" s="7">
        <f>IFERROR(IF(AND(F57&gt;0,G57&gt;0),F57/G57,""),"")</f>
        <v/>
      </c>
      <c r="N57" s="27" t="n"/>
      <c r="Q57" s="28" t="n"/>
      <c r="R57" s="10">
        <f>IFERROR(IF(Q57="","",TODAY()-Q57),"")</f>
        <v/>
      </c>
    </row>
    <row r="58">
      <c r="A58" s="18" t="n"/>
      <c r="B58" s="18" t="n"/>
      <c r="C58" s="18" t="n"/>
      <c r="D58" s="18" t="n"/>
      <c r="E58" s="19" t="n"/>
      <c r="F58" s="20" t="n"/>
      <c r="G58" s="21" t="n"/>
      <c r="H58" s="7">
        <f>IFERROR(IF(AND(F58&gt;0,G58&gt;0),F58/G58,""),"")</f>
        <v/>
      </c>
      <c r="I58" s="18" t="n"/>
      <c r="J58" s="18" t="n"/>
      <c r="K58" s="18" t="n"/>
      <c r="L58" s="18" t="n"/>
      <c r="M58" s="18" t="n"/>
      <c r="N58" s="22" t="n"/>
      <c r="O58" s="18" t="n"/>
      <c r="P58" s="18" t="n"/>
      <c r="Q58" s="23" t="n"/>
      <c r="R58" s="10">
        <f>IFERROR(IF(Q58="","",TODAY()-Q58),"")</f>
        <v/>
      </c>
      <c r="S58" s="18" t="n"/>
    </row>
    <row r="59">
      <c r="E59" s="24" t="n"/>
      <c r="F59" s="25" t="n"/>
      <c r="G59" s="26" t="n"/>
      <c r="H59" s="7">
        <f>IFERROR(IF(AND(F59&gt;0,G59&gt;0),F59/G59,""),"")</f>
        <v/>
      </c>
      <c r="N59" s="27" t="n"/>
      <c r="Q59" s="28" t="n"/>
      <c r="R59" s="10">
        <f>IFERROR(IF(Q59="","",TODAY()-Q59),"")</f>
        <v/>
      </c>
    </row>
    <row r="60">
      <c r="A60" s="18" t="n"/>
      <c r="B60" s="18" t="n"/>
      <c r="C60" s="18" t="n"/>
      <c r="D60" s="18" t="n"/>
      <c r="E60" s="19" t="n"/>
      <c r="F60" s="20" t="n"/>
      <c r="G60" s="21" t="n"/>
      <c r="H60" s="7">
        <f>IFERROR(IF(AND(F60&gt;0,G60&gt;0),F60/G60,""),"")</f>
        <v/>
      </c>
      <c r="I60" s="18" t="n"/>
      <c r="J60" s="18" t="n"/>
      <c r="K60" s="18" t="n"/>
      <c r="L60" s="18" t="n"/>
      <c r="M60" s="18" t="n"/>
      <c r="N60" s="22" t="n"/>
      <c r="O60" s="18" t="n"/>
      <c r="P60" s="18" t="n"/>
      <c r="Q60" s="23" t="n"/>
      <c r="R60" s="10">
        <f>IFERROR(IF(Q60="","",TODAY()-Q60),"")</f>
        <v/>
      </c>
      <c r="S60" s="18" t="n"/>
    </row>
    <row r="61">
      <c r="E61" s="24" t="n"/>
      <c r="F61" s="25" t="n"/>
      <c r="G61" s="26" t="n"/>
      <c r="H61" s="7">
        <f>IFERROR(IF(AND(F61&gt;0,G61&gt;0),F61/G61,""),"")</f>
        <v/>
      </c>
      <c r="N61" s="27" t="n"/>
      <c r="Q61" s="28" t="n"/>
      <c r="R61" s="10">
        <f>IFERROR(IF(Q61="","",TODAY()-Q61),"")</f>
        <v/>
      </c>
    </row>
    <row r="62">
      <c r="A62" s="18" t="n"/>
      <c r="B62" s="18" t="n"/>
      <c r="C62" s="18" t="n"/>
      <c r="D62" s="18" t="n"/>
      <c r="E62" s="19" t="n"/>
      <c r="F62" s="20" t="n"/>
      <c r="G62" s="21" t="n"/>
      <c r="H62" s="7">
        <f>IFERROR(IF(AND(F62&gt;0,G62&gt;0),F62/G62,""),"")</f>
        <v/>
      </c>
      <c r="I62" s="18" t="n"/>
      <c r="J62" s="18" t="n"/>
      <c r="K62" s="18" t="n"/>
      <c r="L62" s="18" t="n"/>
      <c r="M62" s="18" t="n"/>
      <c r="N62" s="22" t="n"/>
      <c r="O62" s="18" t="n"/>
      <c r="P62" s="18" t="n"/>
      <c r="Q62" s="23" t="n"/>
      <c r="R62" s="10">
        <f>IFERROR(IF(Q62="","",TODAY()-Q62),"")</f>
        <v/>
      </c>
      <c r="S62" s="18" t="n"/>
    </row>
    <row r="63">
      <c r="E63" s="24" t="n"/>
      <c r="F63" s="25" t="n"/>
      <c r="G63" s="26" t="n"/>
      <c r="H63" s="7">
        <f>IFERROR(IF(AND(F63&gt;0,G63&gt;0),F63/G63,""),"")</f>
        <v/>
      </c>
      <c r="N63" s="27" t="n"/>
      <c r="Q63" s="28" t="n"/>
      <c r="R63" s="10">
        <f>IFERROR(IF(Q63="","",TODAY()-Q63),"")</f>
        <v/>
      </c>
    </row>
    <row r="64">
      <c r="A64" s="18" t="n"/>
      <c r="B64" s="18" t="n"/>
      <c r="C64" s="18" t="n"/>
      <c r="D64" s="18" t="n"/>
      <c r="E64" s="19" t="n"/>
      <c r="F64" s="20" t="n"/>
      <c r="G64" s="21" t="n"/>
      <c r="H64" s="7">
        <f>IFERROR(IF(AND(F64&gt;0,G64&gt;0),F64/G64,""),"")</f>
        <v/>
      </c>
      <c r="I64" s="18" t="n"/>
      <c r="J64" s="18" t="n"/>
      <c r="K64" s="18" t="n"/>
      <c r="L64" s="18" t="n"/>
      <c r="M64" s="18" t="n"/>
      <c r="N64" s="22" t="n"/>
      <c r="O64" s="18" t="n"/>
      <c r="P64" s="18" t="n"/>
      <c r="Q64" s="23" t="n"/>
      <c r="R64" s="10">
        <f>IFERROR(IF(Q64="","",TODAY()-Q64),"")</f>
        <v/>
      </c>
      <c r="S64" s="18" t="n"/>
    </row>
    <row r="65">
      <c r="E65" s="24" t="n"/>
      <c r="F65" s="25" t="n"/>
      <c r="G65" s="26" t="n"/>
      <c r="H65" s="7">
        <f>IFERROR(IF(AND(F65&gt;0,G65&gt;0),F65/G65,""),"")</f>
        <v/>
      </c>
      <c r="N65" s="27" t="n"/>
      <c r="Q65" s="28" t="n"/>
      <c r="R65" s="10">
        <f>IFERROR(IF(Q65="","",TODAY()-Q65),"")</f>
        <v/>
      </c>
    </row>
    <row r="66">
      <c r="A66" s="18" t="n"/>
      <c r="B66" s="18" t="n"/>
      <c r="C66" s="18" t="n"/>
      <c r="D66" s="18" t="n"/>
      <c r="E66" s="19" t="n"/>
      <c r="F66" s="20" t="n"/>
      <c r="G66" s="21" t="n"/>
      <c r="H66" s="7">
        <f>IFERROR(IF(AND(F66&gt;0,G66&gt;0),F66/G66,""),"")</f>
        <v/>
      </c>
      <c r="I66" s="18" t="n"/>
      <c r="J66" s="18" t="n"/>
      <c r="K66" s="18" t="n"/>
      <c r="L66" s="18" t="n"/>
      <c r="M66" s="18" t="n"/>
      <c r="N66" s="22" t="n"/>
      <c r="O66" s="18" t="n"/>
      <c r="P66" s="18" t="n"/>
      <c r="Q66" s="23" t="n"/>
      <c r="R66" s="10">
        <f>IFERROR(IF(Q66="","",TODAY()-Q66),"")</f>
        <v/>
      </c>
      <c r="S66" s="18" t="n"/>
    </row>
    <row r="67">
      <c r="E67" s="24" t="n"/>
      <c r="F67" s="25" t="n"/>
      <c r="G67" s="26" t="n"/>
      <c r="H67" s="7">
        <f>IFERROR(IF(AND(F67&gt;0,G67&gt;0),F67/G67,""),"")</f>
        <v/>
      </c>
      <c r="N67" s="27" t="n"/>
      <c r="Q67" s="28" t="n"/>
      <c r="R67" s="10">
        <f>IFERROR(IF(Q67="","",TODAY()-Q67),"")</f>
        <v/>
      </c>
    </row>
    <row r="68">
      <c r="A68" s="18" t="n"/>
      <c r="B68" s="18" t="n"/>
      <c r="C68" s="18" t="n"/>
      <c r="D68" s="18" t="n"/>
      <c r="E68" s="19" t="n"/>
      <c r="F68" s="20" t="n"/>
      <c r="G68" s="21" t="n"/>
      <c r="H68" s="7">
        <f>IFERROR(IF(AND(F68&gt;0,G68&gt;0),F68/G68,""),"")</f>
        <v/>
      </c>
      <c r="I68" s="18" t="n"/>
      <c r="J68" s="18" t="n"/>
      <c r="K68" s="18" t="n"/>
      <c r="L68" s="18" t="n"/>
      <c r="M68" s="18" t="n"/>
      <c r="N68" s="22" t="n"/>
      <c r="O68" s="18" t="n"/>
      <c r="P68" s="18" t="n"/>
      <c r="Q68" s="23" t="n"/>
      <c r="R68" s="10">
        <f>IFERROR(IF(Q68="","",TODAY()-Q68),"")</f>
        <v/>
      </c>
      <c r="S68" s="18" t="n"/>
    </row>
    <row r="69">
      <c r="E69" s="24" t="n"/>
      <c r="F69" s="25" t="n"/>
      <c r="G69" s="26" t="n"/>
      <c r="H69" s="7">
        <f>IFERROR(IF(AND(F69&gt;0,G69&gt;0),F69/G69,""),"")</f>
        <v/>
      </c>
      <c r="N69" s="27" t="n"/>
      <c r="Q69" s="28" t="n"/>
      <c r="R69" s="10">
        <f>IFERROR(IF(Q69="","",TODAY()-Q69),"")</f>
        <v/>
      </c>
    </row>
    <row r="70">
      <c r="A70" s="18" t="n"/>
      <c r="B70" s="18" t="n"/>
      <c r="C70" s="18" t="n"/>
      <c r="D70" s="18" t="n"/>
      <c r="E70" s="19" t="n"/>
      <c r="F70" s="20" t="n"/>
      <c r="G70" s="21" t="n"/>
      <c r="H70" s="7">
        <f>IFERROR(IF(AND(F70&gt;0,G70&gt;0),F70/G70,""),"")</f>
        <v/>
      </c>
      <c r="I70" s="18" t="n"/>
      <c r="J70" s="18" t="n"/>
      <c r="K70" s="18" t="n"/>
      <c r="L70" s="18" t="n"/>
      <c r="M70" s="18" t="n"/>
      <c r="N70" s="22" t="n"/>
      <c r="O70" s="18" t="n"/>
      <c r="P70" s="18" t="n"/>
      <c r="Q70" s="23" t="n"/>
      <c r="R70" s="10">
        <f>IFERROR(IF(Q70="","",TODAY()-Q70),"")</f>
        <v/>
      </c>
      <c r="S70" s="18" t="n"/>
    </row>
    <row r="71">
      <c r="E71" s="24" t="n"/>
      <c r="F71" s="25" t="n"/>
      <c r="G71" s="26" t="n"/>
      <c r="H71" s="7">
        <f>IFERROR(IF(AND(F71&gt;0,G71&gt;0),F71/G71,""),"")</f>
        <v/>
      </c>
      <c r="N71" s="27" t="n"/>
      <c r="Q71" s="28" t="n"/>
      <c r="R71" s="10">
        <f>IFERROR(IF(Q71="","",TODAY()-Q71),"")</f>
        <v/>
      </c>
    </row>
    <row r="72">
      <c r="A72" s="18" t="n"/>
      <c r="B72" s="18" t="n"/>
      <c r="C72" s="18" t="n"/>
      <c r="D72" s="18" t="n"/>
      <c r="E72" s="19" t="n"/>
      <c r="F72" s="20" t="n"/>
      <c r="G72" s="21" t="n"/>
      <c r="H72" s="7">
        <f>IFERROR(IF(AND(F72&gt;0,G72&gt;0),F72/G72,""),"")</f>
        <v/>
      </c>
      <c r="I72" s="18" t="n"/>
      <c r="J72" s="18" t="n"/>
      <c r="K72" s="18" t="n"/>
      <c r="L72" s="18" t="n"/>
      <c r="M72" s="18" t="n"/>
      <c r="N72" s="22" t="n"/>
      <c r="O72" s="18" t="n"/>
      <c r="P72" s="18" t="n"/>
      <c r="Q72" s="23" t="n"/>
      <c r="R72" s="10">
        <f>IFERROR(IF(Q72="","",TODAY()-Q72),"")</f>
        <v/>
      </c>
      <c r="S72" s="18" t="n"/>
    </row>
    <row r="73">
      <c r="E73" s="24" t="n"/>
      <c r="F73" s="25" t="n"/>
      <c r="G73" s="26" t="n"/>
      <c r="H73" s="7">
        <f>IFERROR(IF(AND(F73&gt;0,G73&gt;0),F73/G73,""),"")</f>
        <v/>
      </c>
      <c r="N73" s="27" t="n"/>
      <c r="Q73" s="28" t="n"/>
      <c r="R73" s="10">
        <f>IFERROR(IF(Q73="","",TODAY()-Q73),"")</f>
        <v/>
      </c>
    </row>
    <row r="74">
      <c r="A74" s="18" t="n"/>
      <c r="B74" s="18" t="n"/>
      <c r="C74" s="18" t="n"/>
      <c r="D74" s="18" t="n"/>
      <c r="E74" s="19" t="n"/>
      <c r="F74" s="20" t="n"/>
      <c r="G74" s="21" t="n"/>
      <c r="H74" s="7">
        <f>IFERROR(IF(AND(F74&gt;0,G74&gt;0),F74/G74,""),"")</f>
        <v/>
      </c>
      <c r="I74" s="18" t="n"/>
      <c r="J74" s="18" t="n"/>
      <c r="K74" s="18" t="n"/>
      <c r="L74" s="18" t="n"/>
      <c r="M74" s="18" t="n"/>
      <c r="N74" s="22" t="n"/>
      <c r="O74" s="18" t="n"/>
      <c r="P74" s="18" t="n"/>
      <c r="Q74" s="23" t="n"/>
      <c r="R74" s="10">
        <f>IFERROR(IF(Q74="","",TODAY()-Q74),"")</f>
        <v/>
      </c>
      <c r="S74" s="18" t="n"/>
    </row>
    <row r="75">
      <c r="E75" s="24" t="n"/>
      <c r="F75" s="25" t="n"/>
      <c r="G75" s="26" t="n"/>
      <c r="H75" s="7">
        <f>IFERROR(IF(AND(F75&gt;0,G75&gt;0),F75/G75,""),"")</f>
        <v/>
      </c>
      <c r="N75" s="27" t="n"/>
      <c r="Q75" s="28" t="n"/>
      <c r="R75" s="10">
        <f>IFERROR(IF(Q75="","",TODAY()-Q75),"")</f>
        <v/>
      </c>
    </row>
    <row r="76">
      <c r="A76" s="18" t="n"/>
      <c r="B76" s="18" t="n"/>
      <c r="C76" s="18" t="n"/>
      <c r="D76" s="18" t="n"/>
      <c r="E76" s="19" t="n"/>
      <c r="F76" s="20" t="n"/>
      <c r="G76" s="21" t="n"/>
      <c r="H76" s="7">
        <f>IFERROR(IF(AND(F76&gt;0,G76&gt;0),F76/G76,""),"")</f>
        <v/>
      </c>
      <c r="I76" s="18" t="n"/>
      <c r="J76" s="18" t="n"/>
      <c r="K76" s="18" t="n"/>
      <c r="L76" s="18" t="n"/>
      <c r="M76" s="18" t="n"/>
      <c r="N76" s="22" t="n"/>
      <c r="O76" s="18" t="n"/>
      <c r="P76" s="18" t="n"/>
      <c r="Q76" s="23" t="n"/>
      <c r="R76" s="10">
        <f>IFERROR(IF(Q76="","",TODAY()-Q76),"")</f>
        <v/>
      </c>
      <c r="S76" s="18" t="n"/>
    </row>
    <row r="77">
      <c r="E77" s="24" t="n"/>
      <c r="F77" s="25" t="n"/>
      <c r="G77" s="26" t="n"/>
      <c r="H77" s="7">
        <f>IFERROR(IF(AND(F77&gt;0,G77&gt;0),F77/G77,""),"")</f>
        <v/>
      </c>
      <c r="N77" s="27" t="n"/>
      <c r="Q77" s="28" t="n"/>
      <c r="R77" s="10">
        <f>IFERROR(IF(Q77="","",TODAY()-Q77),"")</f>
        <v/>
      </c>
    </row>
    <row r="78">
      <c r="A78" s="18" t="n"/>
      <c r="B78" s="18" t="n"/>
      <c r="C78" s="18" t="n"/>
      <c r="D78" s="18" t="n"/>
      <c r="E78" s="19" t="n"/>
      <c r="F78" s="20" t="n"/>
      <c r="G78" s="21" t="n"/>
      <c r="H78" s="7">
        <f>IFERROR(IF(AND(F78&gt;0,G78&gt;0),F78/G78,""),"")</f>
        <v/>
      </c>
      <c r="I78" s="18" t="n"/>
      <c r="J78" s="18" t="n"/>
      <c r="K78" s="18" t="n"/>
      <c r="L78" s="18" t="n"/>
      <c r="M78" s="18" t="n"/>
      <c r="N78" s="22" t="n"/>
      <c r="O78" s="18" t="n"/>
      <c r="P78" s="18" t="n"/>
      <c r="Q78" s="23" t="n"/>
      <c r="R78" s="10">
        <f>IFERROR(IF(Q78="","",TODAY()-Q78),"")</f>
        <v/>
      </c>
      <c r="S78" s="18" t="n"/>
    </row>
    <row r="79">
      <c r="E79" s="24" t="n"/>
      <c r="F79" s="25" t="n"/>
      <c r="G79" s="26" t="n"/>
      <c r="H79" s="7">
        <f>IFERROR(IF(AND(F79&gt;0,G79&gt;0),F79/G79,""),"")</f>
        <v/>
      </c>
      <c r="N79" s="27" t="n"/>
      <c r="Q79" s="28" t="n"/>
      <c r="R79" s="10">
        <f>IFERROR(IF(Q79="","",TODAY()-Q79),"")</f>
        <v/>
      </c>
    </row>
    <row r="80">
      <c r="A80" s="18" t="n"/>
      <c r="B80" s="18" t="n"/>
      <c r="C80" s="18" t="n"/>
      <c r="D80" s="18" t="n"/>
      <c r="E80" s="19" t="n"/>
      <c r="F80" s="20" t="n"/>
      <c r="G80" s="21" t="n"/>
      <c r="H80" s="7">
        <f>IFERROR(IF(AND(F80&gt;0,G80&gt;0),F80/G80,""),"")</f>
        <v/>
      </c>
      <c r="I80" s="18" t="n"/>
      <c r="J80" s="18" t="n"/>
      <c r="K80" s="18" t="n"/>
      <c r="L80" s="18" t="n"/>
      <c r="M80" s="18" t="n"/>
      <c r="N80" s="22" t="n"/>
      <c r="O80" s="18" t="n"/>
      <c r="P80" s="18" t="n"/>
      <c r="Q80" s="23" t="n"/>
      <c r="R80" s="10">
        <f>IFERROR(IF(Q80="","",TODAY()-Q80),"")</f>
        <v/>
      </c>
      <c r="S80" s="18" t="n"/>
    </row>
    <row r="81">
      <c r="E81" s="24" t="n"/>
      <c r="F81" s="25" t="n"/>
      <c r="G81" s="26" t="n"/>
      <c r="H81" s="7">
        <f>IFERROR(IF(AND(F81&gt;0,G81&gt;0),F81/G81,""),"")</f>
        <v/>
      </c>
      <c r="N81" s="27" t="n"/>
      <c r="Q81" s="28" t="n"/>
      <c r="R81" s="10">
        <f>IFERROR(IF(Q81="","",TODAY()-Q81),"")</f>
        <v/>
      </c>
    </row>
    <row r="82">
      <c r="A82" s="18" t="n"/>
      <c r="B82" s="18" t="n"/>
      <c r="C82" s="18" t="n"/>
      <c r="D82" s="18" t="n"/>
      <c r="E82" s="19" t="n"/>
      <c r="F82" s="20" t="n"/>
      <c r="G82" s="21" t="n"/>
      <c r="H82" s="7">
        <f>IFERROR(IF(AND(F82&gt;0,G82&gt;0),F82/G82,""),"")</f>
        <v/>
      </c>
      <c r="I82" s="18" t="n"/>
      <c r="J82" s="18" t="n"/>
      <c r="K82" s="18" t="n"/>
      <c r="L82" s="18" t="n"/>
      <c r="M82" s="18" t="n"/>
      <c r="N82" s="22" t="n"/>
      <c r="O82" s="18" t="n"/>
      <c r="P82" s="18" t="n"/>
      <c r="Q82" s="23" t="n"/>
      <c r="R82" s="10">
        <f>IFERROR(IF(Q82="","",TODAY()-Q82),"")</f>
        <v/>
      </c>
      <c r="S82" s="18" t="n"/>
    </row>
    <row r="83">
      <c r="E83" s="24" t="n"/>
      <c r="F83" s="25" t="n"/>
      <c r="G83" s="26" t="n"/>
      <c r="H83" s="7">
        <f>IFERROR(IF(AND(F83&gt;0,G83&gt;0),F83/G83,""),"")</f>
        <v/>
      </c>
      <c r="N83" s="27" t="n"/>
      <c r="Q83" s="28" t="n"/>
      <c r="R83" s="10">
        <f>IFERROR(IF(Q83="","",TODAY()-Q83),"")</f>
        <v/>
      </c>
    </row>
    <row r="84">
      <c r="A84" s="18" t="n"/>
      <c r="B84" s="18" t="n"/>
      <c r="C84" s="18" t="n"/>
      <c r="D84" s="18" t="n"/>
      <c r="E84" s="19" t="n"/>
      <c r="F84" s="20" t="n"/>
      <c r="G84" s="21" t="n"/>
      <c r="H84" s="7">
        <f>IFERROR(IF(AND(F84&gt;0,G84&gt;0),F84/G84,""),"")</f>
        <v/>
      </c>
      <c r="I84" s="18" t="n"/>
      <c r="J84" s="18" t="n"/>
      <c r="K84" s="18" t="n"/>
      <c r="L84" s="18" t="n"/>
      <c r="M84" s="18" t="n"/>
      <c r="N84" s="22" t="n"/>
      <c r="O84" s="18" t="n"/>
      <c r="P84" s="18" t="n"/>
      <c r="Q84" s="23" t="n"/>
      <c r="R84" s="10">
        <f>IFERROR(IF(Q84="","",TODAY()-Q84),"")</f>
        <v/>
      </c>
      <c r="S84" s="18" t="n"/>
    </row>
    <row r="85">
      <c r="E85" s="24" t="n"/>
      <c r="F85" s="25" t="n"/>
      <c r="G85" s="26" t="n"/>
      <c r="H85" s="7">
        <f>IFERROR(IF(AND(F85&gt;0,G85&gt;0),F85/G85,""),"")</f>
        <v/>
      </c>
      <c r="N85" s="27" t="n"/>
      <c r="Q85" s="28" t="n"/>
      <c r="R85" s="10">
        <f>IFERROR(IF(Q85="","",TODAY()-Q85),"")</f>
        <v/>
      </c>
    </row>
    <row r="86">
      <c r="A86" s="18" t="n"/>
      <c r="B86" s="18" t="n"/>
      <c r="C86" s="18" t="n"/>
      <c r="D86" s="18" t="n"/>
      <c r="E86" s="19" t="n"/>
      <c r="F86" s="20" t="n"/>
      <c r="G86" s="21" t="n"/>
      <c r="H86" s="7">
        <f>IFERROR(IF(AND(F86&gt;0,G86&gt;0),F86/G86,""),"")</f>
        <v/>
      </c>
      <c r="I86" s="18" t="n"/>
      <c r="J86" s="18" t="n"/>
      <c r="K86" s="18" t="n"/>
      <c r="L86" s="18" t="n"/>
      <c r="M86" s="18" t="n"/>
      <c r="N86" s="22" t="n"/>
      <c r="O86" s="18" t="n"/>
      <c r="P86" s="18" t="n"/>
      <c r="Q86" s="23" t="n"/>
      <c r="R86" s="10">
        <f>IFERROR(IF(Q86="","",TODAY()-Q86),"")</f>
        <v/>
      </c>
      <c r="S86" s="18" t="n"/>
    </row>
    <row r="87">
      <c r="E87" s="24" t="n"/>
      <c r="F87" s="25" t="n"/>
      <c r="G87" s="26" t="n"/>
      <c r="H87" s="7">
        <f>IFERROR(IF(AND(F87&gt;0,G87&gt;0),F87/G87,""),"")</f>
        <v/>
      </c>
      <c r="N87" s="27" t="n"/>
      <c r="Q87" s="28" t="n"/>
      <c r="R87" s="10">
        <f>IFERROR(IF(Q87="","",TODAY()-Q87),"")</f>
        <v/>
      </c>
    </row>
    <row r="88">
      <c r="A88" s="18" t="n"/>
      <c r="B88" s="18" t="n"/>
      <c r="C88" s="18" t="n"/>
      <c r="D88" s="18" t="n"/>
      <c r="E88" s="19" t="n"/>
      <c r="F88" s="20" t="n"/>
      <c r="G88" s="21" t="n"/>
      <c r="H88" s="7">
        <f>IFERROR(IF(AND(F88&gt;0,G88&gt;0),F88/G88,""),"")</f>
        <v/>
      </c>
      <c r="I88" s="18" t="n"/>
      <c r="J88" s="18" t="n"/>
      <c r="K88" s="18" t="n"/>
      <c r="L88" s="18" t="n"/>
      <c r="M88" s="18" t="n"/>
      <c r="N88" s="22" t="n"/>
      <c r="O88" s="18" t="n"/>
      <c r="P88" s="18" t="n"/>
      <c r="Q88" s="23" t="n"/>
      <c r="R88" s="10">
        <f>IFERROR(IF(Q88="","",TODAY()-Q88),"")</f>
        <v/>
      </c>
      <c r="S88" s="18" t="n"/>
    </row>
    <row r="89">
      <c r="E89" s="24" t="n"/>
      <c r="F89" s="25" t="n"/>
      <c r="G89" s="26" t="n"/>
      <c r="H89" s="7">
        <f>IFERROR(IF(AND(F89&gt;0,G89&gt;0),F89/G89,""),"")</f>
        <v/>
      </c>
      <c r="N89" s="27" t="n"/>
      <c r="Q89" s="28" t="n"/>
      <c r="R89" s="10">
        <f>IFERROR(IF(Q89="","",TODAY()-Q89),"")</f>
        <v/>
      </c>
    </row>
    <row r="90">
      <c r="A90" s="18" t="n"/>
      <c r="B90" s="18" t="n"/>
      <c r="C90" s="18" t="n"/>
      <c r="D90" s="18" t="n"/>
      <c r="E90" s="19" t="n"/>
      <c r="F90" s="20" t="n"/>
      <c r="G90" s="21" t="n"/>
      <c r="H90" s="7">
        <f>IFERROR(IF(AND(F90&gt;0,G90&gt;0),F90/G90,""),"")</f>
        <v/>
      </c>
      <c r="I90" s="18" t="n"/>
      <c r="J90" s="18" t="n"/>
      <c r="K90" s="18" t="n"/>
      <c r="L90" s="18" t="n"/>
      <c r="M90" s="18" t="n"/>
      <c r="N90" s="22" t="n"/>
      <c r="O90" s="18" t="n"/>
      <c r="P90" s="18" t="n"/>
      <c r="Q90" s="23" t="n"/>
      <c r="R90" s="10">
        <f>IFERROR(IF(Q90="","",TODAY()-Q90),"")</f>
        <v/>
      </c>
      <c r="S90" s="18" t="n"/>
    </row>
    <row r="91">
      <c r="E91" s="24" t="n"/>
      <c r="F91" s="25" t="n"/>
      <c r="G91" s="26" t="n"/>
      <c r="H91" s="7">
        <f>IFERROR(IF(AND(F91&gt;0,G91&gt;0),F91/G91,""),"")</f>
        <v/>
      </c>
      <c r="N91" s="27" t="n"/>
      <c r="Q91" s="28" t="n"/>
      <c r="R91" s="10">
        <f>IFERROR(IF(Q91="","",TODAY()-Q91),"")</f>
        <v/>
      </c>
    </row>
    <row r="92">
      <c r="A92" s="18" t="n"/>
      <c r="B92" s="18" t="n"/>
      <c r="C92" s="18" t="n"/>
      <c r="D92" s="18" t="n"/>
      <c r="E92" s="19" t="n"/>
      <c r="F92" s="20" t="n"/>
      <c r="G92" s="21" t="n"/>
      <c r="H92" s="7">
        <f>IFERROR(IF(AND(F92&gt;0,G92&gt;0),F92/G92,""),"")</f>
        <v/>
      </c>
      <c r="I92" s="18" t="n"/>
      <c r="J92" s="18" t="n"/>
      <c r="K92" s="18" t="n"/>
      <c r="L92" s="18" t="n"/>
      <c r="M92" s="18" t="n"/>
      <c r="N92" s="22" t="n"/>
      <c r="O92" s="18" t="n"/>
      <c r="P92" s="18" t="n"/>
      <c r="Q92" s="23" t="n"/>
      <c r="R92" s="10">
        <f>IFERROR(IF(Q92="","",TODAY()-Q92),"")</f>
        <v/>
      </c>
      <c r="S92" s="18" t="n"/>
    </row>
    <row r="93">
      <c r="E93" s="24" t="n"/>
      <c r="F93" s="25" t="n"/>
      <c r="G93" s="26" t="n"/>
      <c r="H93" s="7">
        <f>IFERROR(IF(AND(F93&gt;0,G93&gt;0),F93/G93,""),"")</f>
        <v/>
      </c>
      <c r="N93" s="27" t="n"/>
      <c r="Q93" s="28" t="n"/>
      <c r="R93" s="10">
        <f>IFERROR(IF(Q93="","",TODAY()-Q93),"")</f>
        <v/>
      </c>
    </row>
    <row r="94">
      <c r="A94" s="18" t="n"/>
      <c r="B94" s="18" t="n"/>
      <c r="C94" s="18" t="n"/>
      <c r="D94" s="18" t="n"/>
      <c r="E94" s="19" t="n"/>
      <c r="F94" s="20" t="n"/>
      <c r="G94" s="21" t="n"/>
      <c r="H94" s="7">
        <f>IFERROR(IF(AND(F94&gt;0,G94&gt;0),F94/G94,""),"")</f>
        <v/>
      </c>
      <c r="I94" s="18" t="n"/>
      <c r="J94" s="18" t="n"/>
      <c r="K94" s="18" t="n"/>
      <c r="L94" s="18" t="n"/>
      <c r="M94" s="18" t="n"/>
      <c r="N94" s="22" t="n"/>
      <c r="O94" s="18" t="n"/>
      <c r="P94" s="18" t="n"/>
      <c r="Q94" s="23" t="n"/>
      <c r="R94" s="10">
        <f>IFERROR(IF(Q94="","",TODAY()-Q94),"")</f>
        <v/>
      </c>
      <c r="S94" s="18" t="n"/>
    </row>
    <row r="95">
      <c r="E95" s="24" t="n"/>
      <c r="F95" s="25" t="n"/>
      <c r="G95" s="26" t="n"/>
      <c r="H95" s="7">
        <f>IFERROR(IF(AND(F95&gt;0,G95&gt;0),F95/G95,""),"")</f>
        <v/>
      </c>
      <c r="N95" s="27" t="n"/>
      <c r="Q95" s="28" t="n"/>
      <c r="R95" s="10">
        <f>IFERROR(IF(Q95="","",TODAY()-Q95),"")</f>
        <v/>
      </c>
    </row>
    <row r="96">
      <c r="A96" s="18" t="n"/>
      <c r="B96" s="18" t="n"/>
      <c r="C96" s="18" t="n"/>
      <c r="D96" s="18" t="n"/>
      <c r="E96" s="19" t="n"/>
      <c r="F96" s="20" t="n"/>
      <c r="G96" s="21" t="n"/>
      <c r="H96" s="7">
        <f>IFERROR(IF(AND(F96&gt;0,G96&gt;0),F96/G96,""),"")</f>
        <v/>
      </c>
      <c r="I96" s="18" t="n"/>
      <c r="J96" s="18" t="n"/>
      <c r="K96" s="18" t="n"/>
      <c r="L96" s="18" t="n"/>
      <c r="M96" s="18" t="n"/>
      <c r="N96" s="22" t="n"/>
      <c r="O96" s="18" t="n"/>
      <c r="P96" s="18" t="n"/>
      <c r="Q96" s="23" t="n"/>
      <c r="R96" s="10">
        <f>IFERROR(IF(Q96="","",TODAY()-Q96),"")</f>
        <v/>
      </c>
      <c r="S96" s="18" t="n"/>
    </row>
    <row r="97">
      <c r="E97" s="24" t="n"/>
      <c r="F97" s="25" t="n"/>
      <c r="G97" s="26" t="n"/>
      <c r="H97" s="7">
        <f>IFERROR(IF(AND(F97&gt;0,G97&gt;0),F97/G97,""),"")</f>
        <v/>
      </c>
      <c r="N97" s="27" t="n"/>
      <c r="Q97" s="28" t="n"/>
      <c r="R97" s="10">
        <f>IFERROR(IF(Q97="","",TODAY()-Q97),"")</f>
        <v/>
      </c>
    </row>
    <row r="98">
      <c r="A98" s="18" t="n"/>
      <c r="B98" s="18" t="n"/>
      <c r="C98" s="18" t="n"/>
      <c r="D98" s="18" t="n"/>
      <c r="E98" s="19" t="n"/>
      <c r="F98" s="20" t="n"/>
      <c r="G98" s="21" t="n"/>
      <c r="H98" s="7">
        <f>IFERROR(IF(AND(F98&gt;0,G98&gt;0),F98/G98,""),"")</f>
        <v/>
      </c>
      <c r="I98" s="18" t="n"/>
      <c r="J98" s="18" t="n"/>
      <c r="K98" s="18" t="n"/>
      <c r="L98" s="18" t="n"/>
      <c r="M98" s="18" t="n"/>
      <c r="N98" s="22" t="n"/>
      <c r="O98" s="18" t="n"/>
      <c r="P98" s="18" t="n"/>
      <c r="Q98" s="23" t="n"/>
      <c r="R98" s="10">
        <f>IFERROR(IF(Q98="","",TODAY()-Q98),"")</f>
        <v/>
      </c>
      <c r="S98" s="18" t="n"/>
    </row>
    <row r="99">
      <c r="E99" s="24" t="n"/>
      <c r="F99" s="25" t="n"/>
      <c r="G99" s="26" t="n"/>
      <c r="H99" s="7">
        <f>IFERROR(IF(AND(F99&gt;0,G99&gt;0),F99/G99,""),"")</f>
        <v/>
      </c>
      <c r="N99" s="27" t="n"/>
      <c r="Q99" s="28" t="n"/>
      <c r="R99" s="10">
        <f>IFERROR(IF(Q99="","",TODAY()-Q99),"")</f>
        <v/>
      </c>
    </row>
    <row r="100">
      <c r="A100" s="18" t="n"/>
      <c r="B100" s="18" t="n"/>
      <c r="C100" s="18" t="n"/>
      <c r="D100" s="18" t="n"/>
      <c r="E100" s="19" t="n"/>
      <c r="F100" s="20" t="n"/>
      <c r="G100" s="21" t="n"/>
      <c r="H100" s="7">
        <f>IFERROR(IF(AND(F100&gt;0,G100&gt;0),F100/G100,""),"")</f>
        <v/>
      </c>
      <c r="I100" s="18" t="n"/>
      <c r="J100" s="18" t="n"/>
      <c r="K100" s="18" t="n"/>
      <c r="L100" s="18" t="n"/>
      <c r="M100" s="18" t="n"/>
      <c r="N100" s="22" t="n"/>
      <c r="O100" s="18" t="n"/>
      <c r="P100" s="18" t="n"/>
      <c r="Q100" s="23" t="n"/>
      <c r="R100" s="10">
        <f>IFERROR(IF(Q100="","",TODAY()-Q100),"")</f>
        <v/>
      </c>
      <c r="S100" s="18" t="n"/>
    </row>
    <row r="101">
      <c r="E101" s="24" t="n"/>
      <c r="F101" s="25" t="n"/>
      <c r="G101" s="26" t="n"/>
      <c r="H101" s="7">
        <f>IFERROR(IF(AND(F101&gt;0,G101&gt;0),F101/G101,""),"")</f>
        <v/>
      </c>
      <c r="N101" s="27" t="n"/>
      <c r="Q101" s="28" t="n"/>
      <c r="R101" s="10">
        <f>IFERROR(IF(Q101="","",TODAY()-Q101),"")</f>
        <v/>
      </c>
    </row>
    <row r="102">
      <c r="A102" s="18" t="n"/>
      <c r="B102" s="18" t="n"/>
      <c r="C102" s="18" t="n"/>
      <c r="D102" s="18" t="n"/>
      <c r="E102" s="19" t="n"/>
      <c r="F102" s="20" t="n"/>
      <c r="G102" s="21" t="n"/>
      <c r="H102" s="7">
        <f>IFERROR(IF(AND(F102&gt;0,G102&gt;0),F102/G102,""),"")</f>
        <v/>
      </c>
      <c r="I102" s="18" t="n"/>
      <c r="J102" s="18" t="n"/>
      <c r="K102" s="18" t="n"/>
      <c r="L102" s="18" t="n"/>
      <c r="M102" s="18" t="n"/>
      <c r="N102" s="22" t="n"/>
      <c r="O102" s="18" t="n"/>
      <c r="P102" s="18" t="n"/>
      <c r="Q102" s="23" t="n"/>
      <c r="R102" s="10">
        <f>IFERROR(IF(Q102="","",TODAY()-Q102),"")</f>
        <v/>
      </c>
      <c r="S102" s="18" t="n"/>
    </row>
    <row r="103">
      <c r="E103" s="24" t="n"/>
      <c r="F103" s="25" t="n"/>
      <c r="G103" s="26" t="n"/>
      <c r="H103" s="7">
        <f>IFERROR(IF(AND(F103&gt;0,G103&gt;0),F103/G103,""),"")</f>
        <v/>
      </c>
      <c r="N103" s="27" t="n"/>
      <c r="Q103" s="28" t="n"/>
      <c r="R103" s="10">
        <f>IFERROR(IF(Q103="","",TODAY()-Q103),"")</f>
        <v/>
      </c>
    </row>
    <row r="104">
      <c r="A104" s="18" t="n"/>
      <c r="B104" s="18" t="n"/>
      <c r="C104" s="18" t="n"/>
      <c r="D104" s="18" t="n"/>
      <c r="E104" s="19" t="n"/>
      <c r="F104" s="20" t="n"/>
      <c r="G104" s="21" t="n"/>
      <c r="H104" s="7">
        <f>IFERROR(IF(AND(F104&gt;0,G104&gt;0),F104/G104,""),"")</f>
        <v/>
      </c>
      <c r="I104" s="18" t="n"/>
      <c r="J104" s="18" t="n"/>
      <c r="K104" s="18" t="n"/>
      <c r="L104" s="18" t="n"/>
      <c r="M104" s="18" t="n"/>
      <c r="N104" s="22" t="n"/>
      <c r="O104" s="18" t="n"/>
      <c r="P104" s="18" t="n"/>
      <c r="Q104" s="23" t="n"/>
      <c r="R104" s="10">
        <f>IFERROR(IF(Q104="","",TODAY()-Q104),"")</f>
        <v/>
      </c>
      <c r="S104" s="18" t="n"/>
    </row>
    <row r="105">
      <c r="E105" s="24" t="n"/>
      <c r="F105" s="25" t="n"/>
      <c r="G105" s="26" t="n"/>
      <c r="H105" s="7">
        <f>IFERROR(IF(AND(F105&gt;0,G105&gt;0),F105/G105,""),"")</f>
        <v/>
      </c>
      <c r="N105" s="27" t="n"/>
      <c r="Q105" s="28" t="n"/>
      <c r="R105" s="10">
        <f>IFERROR(IF(Q105="","",TODAY()-Q105),"")</f>
        <v/>
      </c>
    </row>
    <row r="106">
      <c r="A106" s="18" t="n"/>
      <c r="B106" s="18" t="n"/>
      <c r="C106" s="18" t="n"/>
      <c r="D106" s="18" t="n"/>
      <c r="E106" s="19" t="n"/>
      <c r="F106" s="20" t="n"/>
      <c r="G106" s="21" t="n"/>
      <c r="H106" s="7">
        <f>IFERROR(IF(AND(F106&gt;0,G106&gt;0),F106/G106,""),"")</f>
        <v/>
      </c>
      <c r="I106" s="18" t="n"/>
      <c r="J106" s="18" t="n"/>
      <c r="K106" s="18" t="n"/>
      <c r="L106" s="18" t="n"/>
      <c r="M106" s="18" t="n"/>
      <c r="N106" s="22" t="n"/>
      <c r="O106" s="18" t="n"/>
      <c r="P106" s="18" t="n"/>
      <c r="Q106" s="23" t="n"/>
      <c r="R106" s="10">
        <f>IFERROR(IF(Q106="","",TODAY()-Q106),"")</f>
        <v/>
      </c>
      <c r="S106" s="18" t="n"/>
    </row>
    <row r="107">
      <c r="E107" s="24" t="n"/>
      <c r="F107" s="25" t="n"/>
      <c r="G107" s="26" t="n"/>
      <c r="H107" s="7">
        <f>IFERROR(IF(AND(F107&gt;0,G107&gt;0),F107/G107,""),"")</f>
        <v/>
      </c>
      <c r="N107" s="27" t="n"/>
      <c r="Q107" s="28" t="n"/>
      <c r="R107" s="10">
        <f>IFERROR(IF(Q107="","",TODAY()-Q107),"")</f>
        <v/>
      </c>
    </row>
    <row r="108">
      <c r="A108" s="18" t="n"/>
      <c r="B108" s="18" t="n"/>
      <c r="C108" s="18" t="n"/>
      <c r="D108" s="18" t="n"/>
      <c r="E108" s="19" t="n"/>
      <c r="F108" s="20" t="n"/>
      <c r="G108" s="21" t="n"/>
      <c r="H108" s="7">
        <f>IFERROR(IF(AND(F108&gt;0,G108&gt;0),F108/G108,""),"")</f>
        <v/>
      </c>
      <c r="I108" s="18" t="n"/>
      <c r="J108" s="18" t="n"/>
      <c r="K108" s="18" t="n"/>
      <c r="L108" s="18" t="n"/>
      <c r="M108" s="18" t="n"/>
      <c r="N108" s="22" t="n"/>
      <c r="O108" s="18" t="n"/>
      <c r="P108" s="18" t="n"/>
      <c r="Q108" s="23" t="n"/>
      <c r="R108" s="10">
        <f>IFERROR(IF(Q108="","",TODAY()-Q108),"")</f>
        <v/>
      </c>
      <c r="S108" s="18" t="n"/>
    </row>
    <row r="109">
      <c r="E109" s="24" t="n"/>
      <c r="F109" s="25" t="n"/>
      <c r="G109" s="26" t="n"/>
      <c r="H109" s="7">
        <f>IFERROR(IF(AND(F109&gt;0,G109&gt;0),F109/G109,""),"")</f>
        <v/>
      </c>
      <c r="N109" s="27" t="n"/>
      <c r="Q109" s="28" t="n"/>
      <c r="R109" s="10">
        <f>IFERROR(IF(Q109="","",TODAY()-Q109),"")</f>
        <v/>
      </c>
    </row>
    <row r="110">
      <c r="A110" s="18" t="n"/>
      <c r="B110" s="18" t="n"/>
      <c r="C110" s="18" t="n"/>
      <c r="D110" s="18" t="n"/>
      <c r="E110" s="19" t="n"/>
      <c r="F110" s="20" t="n"/>
      <c r="G110" s="21" t="n"/>
      <c r="H110" s="7">
        <f>IFERROR(IF(AND(F110&gt;0,G110&gt;0),F110/G110,""),"")</f>
        <v/>
      </c>
      <c r="I110" s="18" t="n"/>
      <c r="J110" s="18" t="n"/>
      <c r="K110" s="18" t="n"/>
      <c r="L110" s="18" t="n"/>
      <c r="M110" s="18" t="n"/>
      <c r="N110" s="22" t="n"/>
      <c r="O110" s="18" t="n"/>
      <c r="P110" s="18" t="n"/>
      <c r="Q110" s="23" t="n"/>
      <c r="R110" s="10">
        <f>IFERROR(IF(Q110="","",TODAY()-Q110),"")</f>
        <v/>
      </c>
      <c r="S110" s="18" t="n"/>
    </row>
    <row r="111">
      <c r="E111" s="24" t="n"/>
      <c r="F111" s="25" t="n"/>
      <c r="G111" s="26" t="n"/>
      <c r="H111" s="7">
        <f>IFERROR(IF(AND(F111&gt;0,G111&gt;0),F111/G111,""),"")</f>
        <v/>
      </c>
      <c r="N111" s="27" t="n"/>
      <c r="Q111" s="28" t="n"/>
      <c r="R111" s="10">
        <f>IFERROR(IF(Q111="","",TODAY()-Q111),"")</f>
        <v/>
      </c>
    </row>
    <row r="112">
      <c r="A112" s="18" t="n"/>
      <c r="B112" s="18" t="n"/>
      <c r="C112" s="18" t="n"/>
      <c r="D112" s="18" t="n"/>
      <c r="E112" s="19" t="n"/>
      <c r="F112" s="20" t="n"/>
      <c r="G112" s="21" t="n"/>
      <c r="H112" s="7">
        <f>IFERROR(IF(AND(F112&gt;0,G112&gt;0),F112/G112,""),"")</f>
        <v/>
      </c>
      <c r="I112" s="18" t="n"/>
      <c r="J112" s="18" t="n"/>
      <c r="K112" s="18" t="n"/>
      <c r="L112" s="18" t="n"/>
      <c r="M112" s="18" t="n"/>
      <c r="N112" s="22" t="n"/>
      <c r="O112" s="18" t="n"/>
      <c r="P112" s="18" t="n"/>
      <c r="Q112" s="23" t="n"/>
      <c r="R112" s="10">
        <f>IFERROR(IF(Q112="","",TODAY()-Q112),"")</f>
        <v/>
      </c>
      <c r="S112" s="18" t="n"/>
    </row>
    <row r="113">
      <c r="E113" s="24" t="n"/>
      <c r="F113" s="25" t="n"/>
      <c r="G113" s="26" t="n"/>
      <c r="H113" s="7">
        <f>IFERROR(IF(AND(F113&gt;0,G113&gt;0),F113/G113,""),"")</f>
        <v/>
      </c>
      <c r="N113" s="27" t="n"/>
      <c r="Q113" s="28" t="n"/>
      <c r="R113" s="10">
        <f>IFERROR(IF(Q113="","",TODAY()-Q113),"")</f>
        <v/>
      </c>
    </row>
    <row r="114">
      <c r="A114" s="18" t="n"/>
      <c r="B114" s="18" t="n"/>
      <c r="C114" s="18" t="n"/>
      <c r="D114" s="18" t="n"/>
      <c r="E114" s="19" t="n"/>
      <c r="F114" s="20" t="n"/>
      <c r="G114" s="21" t="n"/>
      <c r="H114" s="7">
        <f>IFERROR(IF(AND(F114&gt;0,G114&gt;0),F114/G114,""),"")</f>
        <v/>
      </c>
      <c r="I114" s="18" t="n"/>
      <c r="J114" s="18" t="n"/>
      <c r="K114" s="18" t="n"/>
      <c r="L114" s="18" t="n"/>
      <c r="M114" s="18" t="n"/>
      <c r="N114" s="22" t="n"/>
      <c r="O114" s="18" t="n"/>
      <c r="P114" s="18" t="n"/>
      <c r="Q114" s="23" t="n"/>
      <c r="R114" s="10">
        <f>IFERROR(IF(Q114="","",TODAY()-Q114),"")</f>
        <v/>
      </c>
      <c r="S114" s="18" t="n"/>
    </row>
    <row r="115">
      <c r="E115" s="24" t="n"/>
      <c r="F115" s="25" t="n"/>
      <c r="G115" s="26" t="n"/>
      <c r="H115" s="7">
        <f>IFERROR(IF(AND(F115&gt;0,G115&gt;0),F115/G115,""),"")</f>
        <v/>
      </c>
      <c r="N115" s="27" t="n"/>
      <c r="Q115" s="28" t="n"/>
      <c r="R115" s="10">
        <f>IFERROR(IF(Q115="","",TODAY()-Q115),"")</f>
        <v/>
      </c>
    </row>
    <row r="116">
      <c r="A116" s="18" t="n"/>
      <c r="B116" s="18" t="n"/>
      <c r="C116" s="18" t="n"/>
      <c r="D116" s="18" t="n"/>
      <c r="E116" s="19" t="n"/>
      <c r="F116" s="20" t="n"/>
      <c r="G116" s="21" t="n"/>
      <c r="H116" s="7">
        <f>IFERROR(IF(AND(F116&gt;0,G116&gt;0),F116/G116,""),"")</f>
        <v/>
      </c>
      <c r="I116" s="18" t="n"/>
      <c r="J116" s="18" t="n"/>
      <c r="K116" s="18" t="n"/>
      <c r="L116" s="18" t="n"/>
      <c r="M116" s="18" t="n"/>
      <c r="N116" s="22" t="n"/>
      <c r="O116" s="18" t="n"/>
      <c r="P116" s="18" t="n"/>
      <c r="Q116" s="23" t="n"/>
      <c r="R116" s="10">
        <f>IFERROR(IF(Q116="","",TODAY()-Q116),"")</f>
        <v/>
      </c>
      <c r="S116" s="18" t="n"/>
    </row>
    <row r="117">
      <c r="E117" s="24" t="n"/>
      <c r="F117" s="25" t="n"/>
      <c r="G117" s="26" t="n"/>
      <c r="H117" s="7">
        <f>IFERROR(IF(AND(F117&gt;0,G117&gt;0),F117/G117,""),"")</f>
        <v/>
      </c>
      <c r="N117" s="27" t="n"/>
      <c r="Q117" s="28" t="n"/>
      <c r="R117" s="10">
        <f>IFERROR(IF(Q117="","",TODAY()-Q117),"")</f>
        <v/>
      </c>
    </row>
    <row r="118">
      <c r="A118" s="18" t="n"/>
      <c r="B118" s="18" t="n"/>
      <c r="C118" s="18" t="n"/>
      <c r="D118" s="18" t="n"/>
      <c r="E118" s="19" t="n"/>
      <c r="F118" s="20" t="n"/>
      <c r="G118" s="21" t="n"/>
      <c r="H118" s="7">
        <f>IFERROR(IF(AND(F118&gt;0,G118&gt;0),F118/G118,""),"")</f>
        <v/>
      </c>
      <c r="I118" s="18" t="n"/>
      <c r="J118" s="18" t="n"/>
      <c r="K118" s="18" t="n"/>
      <c r="L118" s="18" t="n"/>
      <c r="M118" s="18" t="n"/>
      <c r="N118" s="22" t="n"/>
      <c r="O118" s="18" t="n"/>
      <c r="P118" s="18" t="n"/>
      <c r="Q118" s="23" t="n"/>
      <c r="R118" s="10">
        <f>IFERROR(IF(Q118="","",TODAY()-Q118),"")</f>
        <v/>
      </c>
      <c r="S118" s="18" t="n"/>
    </row>
    <row r="119">
      <c r="E119" s="24" t="n"/>
      <c r="F119" s="25" t="n"/>
      <c r="G119" s="26" t="n"/>
      <c r="H119" s="7">
        <f>IFERROR(IF(AND(F119&gt;0,G119&gt;0),F119/G119,""),"")</f>
        <v/>
      </c>
      <c r="N119" s="27" t="n"/>
      <c r="Q119" s="28" t="n"/>
      <c r="R119" s="10">
        <f>IFERROR(IF(Q119="","",TODAY()-Q119),"")</f>
        <v/>
      </c>
    </row>
    <row r="120">
      <c r="A120" s="18" t="n"/>
      <c r="B120" s="18" t="n"/>
      <c r="C120" s="18" t="n"/>
      <c r="D120" s="18" t="n"/>
      <c r="E120" s="19" t="n"/>
      <c r="F120" s="20" t="n"/>
      <c r="G120" s="21" t="n"/>
      <c r="H120" s="7">
        <f>IFERROR(IF(AND(F120&gt;0,G120&gt;0),F120/G120,""),"")</f>
        <v/>
      </c>
      <c r="I120" s="18" t="n"/>
      <c r="J120" s="18" t="n"/>
      <c r="K120" s="18" t="n"/>
      <c r="L120" s="18" t="n"/>
      <c r="M120" s="18" t="n"/>
      <c r="N120" s="22" t="n"/>
      <c r="O120" s="18" t="n"/>
      <c r="P120" s="18" t="n"/>
      <c r="Q120" s="23" t="n"/>
      <c r="R120" s="10">
        <f>IFERROR(IF(Q120="","",TODAY()-Q120),"")</f>
        <v/>
      </c>
      <c r="S120" s="18" t="n"/>
    </row>
    <row r="121">
      <c r="E121" s="24" t="n"/>
      <c r="F121" s="25" t="n"/>
      <c r="G121" s="26" t="n"/>
      <c r="H121" s="7">
        <f>IFERROR(IF(AND(F121&gt;0,G121&gt;0),F121/G121,""),"")</f>
        <v/>
      </c>
      <c r="N121" s="27" t="n"/>
      <c r="Q121" s="28" t="n"/>
      <c r="R121" s="10">
        <f>IFERROR(IF(Q121="","",TODAY()-Q121),"")</f>
        <v/>
      </c>
    </row>
    <row r="122">
      <c r="A122" s="18" t="n"/>
      <c r="B122" s="18" t="n"/>
      <c r="C122" s="18" t="n"/>
      <c r="D122" s="18" t="n"/>
      <c r="E122" s="19" t="n"/>
      <c r="F122" s="20" t="n"/>
      <c r="G122" s="21" t="n"/>
      <c r="H122" s="7">
        <f>IFERROR(IF(AND(F122&gt;0,G122&gt;0),F122/G122,""),"")</f>
        <v/>
      </c>
      <c r="I122" s="18" t="n"/>
      <c r="J122" s="18" t="n"/>
      <c r="K122" s="18" t="n"/>
      <c r="L122" s="18" t="n"/>
      <c r="M122" s="18" t="n"/>
      <c r="N122" s="22" t="n"/>
      <c r="O122" s="18" t="n"/>
      <c r="P122" s="18" t="n"/>
      <c r="Q122" s="23" t="n"/>
      <c r="R122" s="10">
        <f>IFERROR(IF(Q122="","",TODAY()-Q122),"")</f>
        <v/>
      </c>
      <c r="S122" s="18" t="n"/>
    </row>
    <row r="123">
      <c r="E123" s="24" t="n"/>
      <c r="F123" s="25" t="n"/>
      <c r="G123" s="26" t="n"/>
      <c r="H123" s="7">
        <f>IFERROR(IF(AND(F123&gt;0,G123&gt;0),F123/G123,""),"")</f>
        <v/>
      </c>
      <c r="N123" s="27" t="n"/>
      <c r="Q123" s="28" t="n"/>
      <c r="R123" s="10">
        <f>IFERROR(IF(Q123="","",TODAY()-Q123),"")</f>
        <v/>
      </c>
    </row>
    <row r="124">
      <c r="A124" s="18" t="n"/>
      <c r="B124" s="18" t="n"/>
      <c r="C124" s="18" t="n"/>
      <c r="D124" s="18" t="n"/>
      <c r="E124" s="19" t="n"/>
      <c r="F124" s="20" t="n"/>
      <c r="G124" s="21" t="n"/>
      <c r="H124" s="7">
        <f>IFERROR(IF(AND(F124&gt;0,G124&gt;0),F124/G124,""),"")</f>
        <v/>
      </c>
      <c r="I124" s="18" t="n"/>
      <c r="J124" s="18" t="n"/>
      <c r="K124" s="18" t="n"/>
      <c r="L124" s="18" t="n"/>
      <c r="M124" s="18" t="n"/>
      <c r="N124" s="22" t="n"/>
      <c r="O124" s="18" t="n"/>
      <c r="P124" s="18" t="n"/>
      <c r="Q124" s="23" t="n"/>
      <c r="R124" s="10">
        <f>IFERROR(IF(Q124="","",TODAY()-Q124),"")</f>
        <v/>
      </c>
      <c r="S124" s="18" t="n"/>
    </row>
    <row r="125">
      <c r="E125" s="24" t="n"/>
      <c r="F125" s="25" t="n"/>
      <c r="G125" s="26" t="n"/>
      <c r="H125" s="7">
        <f>IFERROR(IF(AND(F125&gt;0,G125&gt;0),F125/G125,""),"")</f>
        <v/>
      </c>
      <c r="N125" s="27" t="n"/>
      <c r="Q125" s="28" t="n"/>
      <c r="R125" s="10">
        <f>IFERROR(IF(Q125="","",TODAY()-Q125),"")</f>
        <v/>
      </c>
    </row>
    <row r="126">
      <c r="A126" s="18" t="n"/>
      <c r="B126" s="18" t="n"/>
      <c r="C126" s="18" t="n"/>
      <c r="D126" s="18" t="n"/>
      <c r="E126" s="19" t="n"/>
      <c r="F126" s="20" t="n"/>
      <c r="G126" s="21" t="n"/>
      <c r="H126" s="7">
        <f>IFERROR(IF(AND(F126&gt;0,G126&gt;0),F126/G126,""),"")</f>
        <v/>
      </c>
      <c r="I126" s="18" t="n"/>
      <c r="J126" s="18" t="n"/>
      <c r="K126" s="18" t="n"/>
      <c r="L126" s="18" t="n"/>
      <c r="M126" s="18" t="n"/>
      <c r="N126" s="22" t="n"/>
      <c r="O126" s="18" t="n"/>
      <c r="P126" s="18" t="n"/>
      <c r="Q126" s="23" t="n"/>
      <c r="R126" s="10">
        <f>IFERROR(IF(Q126="","",TODAY()-Q126),"")</f>
        <v/>
      </c>
      <c r="S126" s="18" t="n"/>
    </row>
    <row r="127">
      <c r="E127" s="24" t="n"/>
      <c r="F127" s="25" t="n"/>
      <c r="G127" s="26" t="n"/>
      <c r="H127" s="7">
        <f>IFERROR(IF(AND(F127&gt;0,G127&gt;0),F127/G127,""),"")</f>
        <v/>
      </c>
      <c r="N127" s="27" t="n"/>
      <c r="Q127" s="28" t="n"/>
      <c r="R127" s="10">
        <f>IFERROR(IF(Q127="","",TODAY()-Q127),"")</f>
        <v/>
      </c>
    </row>
    <row r="128">
      <c r="A128" s="18" t="n"/>
      <c r="B128" s="18" t="n"/>
      <c r="C128" s="18" t="n"/>
      <c r="D128" s="18" t="n"/>
      <c r="E128" s="19" t="n"/>
      <c r="F128" s="20" t="n"/>
      <c r="G128" s="21" t="n"/>
      <c r="H128" s="7">
        <f>IFERROR(IF(AND(F128&gt;0,G128&gt;0),F128/G128,""),"")</f>
        <v/>
      </c>
      <c r="I128" s="18" t="n"/>
      <c r="J128" s="18" t="n"/>
      <c r="K128" s="18" t="n"/>
      <c r="L128" s="18" t="n"/>
      <c r="M128" s="18" t="n"/>
      <c r="N128" s="22" t="n"/>
      <c r="O128" s="18" t="n"/>
      <c r="P128" s="18" t="n"/>
      <c r="Q128" s="23" t="n"/>
      <c r="R128" s="10">
        <f>IFERROR(IF(Q128="","",TODAY()-Q128),"")</f>
        <v/>
      </c>
      <c r="S128" s="18" t="n"/>
    </row>
    <row r="129">
      <c r="E129" s="24" t="n"/>
      <c r="F129" s="25" t="n"/>
      <c r="G129" s="26" t="n"/>
      <c r="H129" s="7">
        <f>IFERROR(IF(AND(F129&gt;0,G129&gt;0),F129/G129,""),"")</f>
        <v/>
      </c>
      <c r="N129" s="27" t="n"/>
      <c r="Q129" s="28" t="n"/>
      <c r="R129" s="10">
        <f>IFERROR(IF(Q129="","",TODAY()-Q129),"")</f>
        <v/>
      </c>
    </row>
    <row r="130">
      <c r="A130" s="18" t="n"/>
      <c r="B130" s="18" t="n"/>
      <c r="C130" s="18" t="n"/>
      <c r="D130" s="18" t="n"/>
      <c r="E130" s="19" t="n"/>
      <c r="F130" s="20" t="n"/>
      <c r="G130" s="21" t="n"/>
      <c r="H130" s="7">
        <f>IFERROR(IF(AND(F130&gt;0,G130&gt;0),F130/G130,""),"")</f>
        <v/>
      </c>
      <c r="I130" s="18" t="n"/>
      <c r="J130" s="18" t="n"/>
      <c r="K130" s="18" t="n"/>
      <c r="L130" s="18" t="n"/>
      <c r="M130" s="18" t="n"/>
      <c r="N130" s="22" t="n"/>
      <c r="O130" s="18" t="n"/>
      <c r="P130" s="18" t="n"/>
      <c r="Q130" s="23" t="n"/>
      <c r="R130" s="10">
        <f>IFERROR(IF(Q130="","",TODAY()-Q130),"")</f>
        <v/>
      </c>
      <c r="S130" s="18" t="n"/>
    </row>
    <row r="131">
      <c r="E131" s="24" t="n"/>
      <c r="F131" s="25" t="n"/>
      <c r="G131" s="26" t="n"/>
      <c r="H131" s="7">
        <f>IFERROR(IF(AND(F131&gt;0,G131&gt;0),F131/G131,""),"")</f>
        <v/>
      </c>
      <c r="N131" s="27" t="n"/>
      <c r="Q131" s="28" t="n"/>
      <c r="R131" s="10">
        <f>IFERROR(IF(Q131="","",TODAY()-Q131),"")</f>
        <v/>
      </c>
    </row>
    <row r="132">
      <c r="A132" s="18" t="n"/>
      <c r="B132" s="18" t="n"/>
      <c r="C132" s="18" t="n"/>
      <c r="D132" s="18" t="n"/>
      <c r="E132" s="19" t="n"/>
      <c r="F132" s="20" t="n"/>
      <c r="G132" s="21" t="n"/>
      <c r="H132" s="7">
        <f>IFERROR(IF(AND(F132&gt;0,G132&gt;0),F132/G132,""),"")</f>
        <v/>
      </c>
      <c r="I132" s="18" t="n"/>
      <c r="J132" s="18" t="n"/>
      <c r="K132" s="18" t="n"/>
      <c r="L132" s="18" t="n"/>
      <c r="M132" s="18" t="n"/>
      <c r="N132" s="22" t="n"/>
      <c r="O132" s="18" t="n"/>
      <c r="P132" s="18" t="n"/>
      <c r="Q132" s="23" t="n"/>
      <c r="R132" s="10">
        <f>IFERROR(IF(Q132="","",TODAY()-Q132),"")</f>
        <v/>
      </c>
      <c r="S132" s="18" t="n"/>
    </row>
    <row r="133">
      <c r="E133" s="24" t="n"/>
      <c r="F133" s="25" t="n"/>
      <c r="G133" s="26" t="n"/>
      <c r="H133" s="7">
        <f>IFERROR(IF(AND(F133&gt;0,G133&gt;0),F133/G133,""),"")</f>
        <v/>
      </c>
      <c r="N133" s="27" t="n"/>
      <c r="Q133" s="28" t="n"/>
      <c r="R133" s="10">
        <f>IFERROR(IF(Q133="","",TODAY()-Q133),"")</f>
        <v/>
      </c>
    </row>
    <row r="134">
      <c r="A134" s="18" t="n"/>
      <c r="B134" s="18" t="n"/>
      <c r="C134" s="18" t="n"/>
      <c r="D134" s="18" t="n"/>
      <c r="E134" s="19" t="n"/>
      <c r="F134" s="20" t="n"/>
      <c r="G134" s="21" t="n"/>
      <c r="H134" s="7">
        <f>IFERROR(IF(AND(F134&gt;0,G134&gt;0),F134/G134,""),"")</f>
        <v/>
      </c>
      <c r="I134" s="18" t="n"/>
      <c r="J134" s="18" t="n"/>
      <c r="K134" s="18" t="n"/>
      <c r="L134" s="18" t="n"/>
      <c r="M134" s="18" t="n"/>
      <c r="N134" s="22" t="n"/>
      <c r="O134" s="18" t="n"/>
      <c r="P134" s="18" t="n"/>
      <c r="Q134" s="23" t="n"/>
      <c r="R134" s="10">
        <f>IFERROR(IF(Q134="","",TODAY()-Q134),"")</f>
        <v/>
      </c>
      <c r="S134" s="18" t="n"/>
    </row>
    <row r="135">
      <c r="E135" s="24" t="n"/>
      <c r="F135" s="25" t="n"/>
      <c r="G135" s="26" t="n"/>
      <c r="H135" s="7">
        <f>IFERROR(IF(AND(F135&gt;0,G135&gt;0),F135/G135,""),"")</f>
        <v/>
      </c>
      <c r="N135" s="27" t="n"/>
      <c r="Q135" s="28" t="n"/>
      <c r="R135" s="10">
        <f>IFERROR(IF(Q135="","",TODAY()-Q135),"")</f>
        <v/>
      </c>
    </row>
    <row r="136">
      <c r="A136" s="18" t="n"/>
      <c r="B136" s="18" t="n"/>
      <c r="C136" s="18" t="n"/>
      <c r="D136" s="18" t="n"/>
      <c r="E136" s="19" t="n"/>
      <c r="F136" s="20" t="n"/>
      <c r="G136" s="21" t="n"/>
      <c r="H136" s="7">
        <f>IFERROR(IF(AND(F136&gt;0,G136&gt;0),F136/G136,""),"")</f>
        <v/>
      </c>
      <c r="I136" s="18" t="n"/>
      <c r="J136" s="18" t="n"/>
      <c r="K136" s="18" t="n"/>
      <c r="L136" s="18" t="n"/>
      <c r="M136" s="18" t="n"/>
      <c r="N136" s="22" t="n"/>
      <c r="O136" s="18" t="n"/>
      <c r="P136" s="18" t="n"/>
      <c r="Q136" s="23" t="n"/>
      <c r="R136" s="10">
        <f>IFERROR(IF(Q136="","",TODAY()-Q136),"")</f>
        <v/>
      </c>
      <c r="S136" s="18" t="n"/>
    </row>
    <row r="137">
      <c r="E137" s="24" t="n"/>
      <c r="F137" s="25" t="n"/>
      <c r="G137" s="26" t="n"/>
      <c r="H137" s="7">
        <f>IFERROR(IF(AND(F137&gt;0,G137&gt;0),F137/G137,""),"")</f>
        <v/>
      </c>
      <c r="N137" s="27" t="n"/>
      <c r="Q137" s="28" t="n"/>
      <c r="R137" s="10">
        <f>IFERROR(IF(Q137="","",TODAY()-Q137),"")</f>
        <v/>
      </c>
    </row>
    <row r="138">
      <c r="A138" s="18" t="n"/>
      <c r="B138" s="18" t="n"/>
      <c r="C138" s="18" t="n"/>
      <c r="D138" s="18" t="n"/>
      <c r="E138" s="19" t="n"/>
      <c r="F138" s="20" t="n"/>
      <c r="G138" s="21" t="n"/>
      <c r="H138" s="7">
        <f>IFERROR(IF(AND(F138&gt;0,G138&gt;0),F138/G138,""),"")</f>
        <v/>
      </c>
      <c r="I138" s="18" t="n"/>
      <c r="J138" s="18" t="n"/>
      <c r="K138" s="18" t="n"/>
      <c r="L138" s="18" t="n"/>
      <c r="M138" s="18" t="n"/>
      <c r="N138" s="22" t="n"/>
      <c r="O138" s="18" t="n"/>
      <c r="P138" s="18" t="n"/>
      <c r="Q138" s="23" t="n"/>
      <c r="R138" s="10">
        <f>IFERROR(IF(Q138="","",TODAY()-Q138),"")</f>
        <v/>
      </c>
      <c r="S138" s="18" t="n"/>
    </row>
    <row r="139">
      <c r="E139" s="24" t="n"/>
      <c r="F139" s="25" t="n"/>
      <c r="G139" s="26" t="n"/>
      <c r="H139" s="7">
        <f>IFERROR(IF(AND(F139&gt;0,G139&gt;0),F139/G139,""),"")</f>
        <v/>
      </c>
      <c r="N139" s="27" t="n"/>
      <c r="Q139" s="28" t="n"/>
      <c r="R139" s="10">
        <f>IFERROR(IF(Q139="","",TODAY()-Q139),"")</f>
        <v/>
      </c>
    </row>
    <row r="140">
      <c r="A140" s="18" t="n"/>
      <c r="B140" s="18" t="n"/>
      <c r="C140" s="18" t="n"/>
      <c r="D140" s="18" t="n"/>
      <c r="E140" s="19" t="n"/>
      <c r="F140" s="20" t="n"/>
      <c r="G140" s="21" t="n"/>
      <c r="H140" s="7">
        <f>IFERROR(IF(AND(F140&gt;0,G140&gt;0),F140/G140,""),"")</f>
        <v/>
      </c>
      <c r="I140" s="18" t="n"/>
      <c r="J140" s="18" t="n"/>
      <c r="K140" s="18" t="n"/>
      <c r="L140" s="18" t="n"/>
      <c r="M140" s="18" t="n"/>
      <c r="N140" s="22" t="n"/>
      <c r="O140" s="18" t="n"/>
      <c r="P140" s="18" t="n"/>
      <c r="Q140" s="23" t="n"/>
      <c r="R140" s="10">
        <f>IFERROR(IF(Q140="","",TODAY()-Q140),"")</f>
        <v/>
      </c>
      <c r="S140" s="18" t="n"/>
    </row>
    <row r="141">
      <c r="E141" s="24" t="n"/>
      <c r="F141" s="25" t="n"/>
      <c r="G141" s="26" t="n"/>
      <c r="H141" s="7">
        <f>IFERROR(IF(AND(F141&gt;0,G141&gt;0),F141/G141,""),"")</f>
        <v/>
      </c>
      <c r="N141" s="27" t="n"/>
      <c r="Q141" s="28" t="n"/>
      <c r="R141" s="10">
        <f>IFERROR(IF(Q141="","",TODAY()-Q141),"")</f>
        <v/>
      </c>
    </row>
    <row r="142">
      <c r="A142" s="18" t="n"/>
      <c r="B142" s="18" t="n"/>
      <c r="C142" s="18" t="n"/>
      <c r="D142" s="18" t="n"/>
      <c r="E142" s="19" t="n"/>
      <c r="F142" s="20" t="n"/>
      <c r="G142" s="21" t="n"/>
      <c r="H142" s="7">
        <f>IFERROR(IF(AND(F142&gt;0,G142&gt;0),F142/G142,""),"")</f>
        <v/>
      </c>
      <c r="I142" s="18" t="n"/>
      <c r="J142" s="18" t="n"/>
      <c r="K142" s="18" t="n"/>
      <c r="L142" s="18" t="n"/>
      <c r="M142" s="18" t="n"/>
      <c r="N142" s="22" t="n"/>
      <c r="O142" s="18" t="n"/>
      <c r="P142" s="18" t="n"/>
      <c r="Q142" s="23" t="n"/>
      <c r="R142" s="10">
        <f>IFERROR(IF(Q142="","",TODAY()-Q142),"")</f>
        <v/>
      </c>
      <c r="S142" s="18" t="n"/>
    </row>
    <row r="143">
      <c r="E143" s="24" t="n"/>
      <c r="F143" s="25" t="n"/>
      <c r="G143" s="26" t="n"/>
      <c r="H143" s="7">
        <f>IFERROR(IF(AND(F143&gt;0,G143&gt;0),F143/G143,""),"")</f>
        <v/>
      </c>
      <c r="N143" s="27" t="n"/>
      <c r="Q143" s="28" t="n"/>
      <c r="R143" s="10">
        <f>IFERROR(IF(Q143="","",TODAY()-Q143),"")</f>
        <v/>
      </c>
    </row>
    <row r="144">
      <c r="A144" s="18" t="n"/>
      <c r="B144" s="18" t="n"/>
      <c r="C144" s="18" t="n"/>
      <c r="D144" s="18" t="n"/>
      <c r="E144" s="19" t="n"/>
      <c r="F144" s="20" t="n"/>
      <c r="G144" s="21" t="n"/>
      <c r="H144" s="7">
        <f>IFERROR(IF(AND(F144&gt;0,G144&gt;0),F144/G144,""),"")</f>
        <v/>
      </c>
      <c r="I144" s="18" t="n"/>
      <c r="J144" s="18" t="n"/>
      <c r="K144" s="18" t="n"/>
      <c r="L144" s="18" t="n"/>
      <c r="M144" s="18" t="n"/>
      <c r="N144" s="22" t="n"/>
      <c r="O144" s="18" t="n"/>
      <c r="P144" s="18" t="n"/>
      <c r="Q144" s="23" t="n"/>
      <c r="R144" s="10">
        <f>IFERROR(IF(Q144="","",TODAY()-Q144),"")</f>
        <v/>
      </c>
      <c r="S144" s="18" t="n"/>
    </row>
    <row r="145">
      <c r="E145" s="24" t="n"/>
      <c r="F145" s="25" t="n"/>
      <c r="G145" s="26" t="n"/>
      <c r="H145" s="7">
        <f>IFERROR(IF(AND(F145&gt;0,G145&gt;0),F145/G145,""),"")</f>
        <v/>
      </c>
      <c r="N145" s="27" t="n"/>
      <c r="Q145" s="28" t="n"/>
      <c r="R145" s="10">
        <f>IFERROR(IF(Q145="","",TODAY()-Q145),"")</f>
        <v/>
      </c>
    </row>
    <row r="146">
      <c r="A146" s="18" t="n"/>
      <c r="B146" s="18" t="n"/>
      <c r="C146" s="18" t="n"/>
      <c r="D146" s="18" t="n"/>
      <c r="E146" s="19" t="n"/>
      <c r="F146" s="20" t="n"/>
      <c r="G146" s="21" t="n"/>
      <c r="H146" s="7">
        <f>IFERROR(IF(AND(F146&gt;0,G146&gt;0),F146/G146,""),"")</f>
        <v/>
      </c>
      <c r="I146" s="18" t="n"/>
      <c r="J146" s="18" t="n"/>
      <c r="K146" s="18" t="n"/>
      <c r="L146" s="18" t="n"/>
      <c r="M146" s="18" t="n"/>
      <c r="N146" s="22" t="n"/>
      <c r="O146" s="18" t="n"/>
      <c r="P146" s="18" t="n"/>
      <c r="Q146" s="23" t="n"/>
      <c r="R146" s="10">
        <f>IFERROR(IF(Q146="","",TODAY()-Q146),"")</f>
        <v/>
      </c>
      <c r="S146" s="18" t="n"/>
    </row>
    <row r="147">
      <c r="E147" s="24" t="n"/>
      <c r="F147" s="25" t="n"/>
      <c r="G147" s="26" t="n"/>
      <c r="H147" s="7">
        <f>IFERROR(IF(AND(F147&gt;0,G147&gt;0),F147/G147,""),"")</f>
        <v/>
      </c>
      <c r="N147" s="27" t="n"/>
      <c r="Q147" s="28" t="n"/>
      <c r="R147" s="10">
        <f>IFERROR(IF(Q147="","",TODAY()-Q147),"")</f>
        <v/>
      </c>
    </row>
    <row r="148">
      <c r="A148" s="18" t="n"/>
      <c r="B148" s="18" t="n"/>
      <c r="C148" s="18" t="n"/>
      <c r="D148" s="18" t="n"/>
      <c r="E148" s="19" t="n"/>
      <c r="F148" s="20" t="n"/>
      <c r="G148" s="21" t="n"/>
      <c r="H148" s="7">
        <f>IFERROR(IF(AND(F148&gt;0,G148&gt;0),F148/G148,""),"")</f>
        <v/>
      </c>
      <c r="I148" s="18" t="n"/>
      <c r="J148" s="18" t="n"/>
      <c r="K148" s="18" t="n"/>
      <c r="L148" s="18" t="n"/>
      <c r="M148" s="18" t="n"/>
      <c r="N148" s="22" t="n"/>
      <c r="O148" s="18" t="n"/>
      <c r="P148" s="18" t="n"/>
      <c r="Q148" s="23" t="n"/>
      <c r="R148" s="10">
        <f>IFERROR(IF(Q148="","",TODAY()-Q148),"")</f>
        <v/>
      </c>
      <c r="S148" s="18" t="n"/>
    </row>
    <row r="149">
      <c r="E149" s="24" t="n"/>
      <c r="F149" s="25" t="n"/>
      <c r="G149" s="26" t="n"/>
      <c r="H149" s="7">
        <f>IFERROR(IF(AND(F149&gt;0,G149&gt;0),F149/G149,""),"")</f>
        <v/>
      </c>
      <c r="N149" s="27" t="n"/>
      <c r="Q149" s="28" t="n"/>
      <c r="R149" s="10">
        <f>IFERROR(IF(Q149="","",TODAY()-Q149),"")</f>
        <v/>
      </c>
    </row>
    <row r="150">
      <c r="A150" s="18" t="n"/>
      <c r="B150" s="18" t="n"/>
      <c r="C150" s="18" t="n"/>
      <c r="D150" s="18" t="n"/>
      <c r="E150" s="19" t="n"/>
      <c r="F150" s="20" t="n"/>
      <c r="G150" s="21" t="n"/>
      <c r="H150" s="7">
        <f>IFERROR(IF(AND(F150&gt;0,G150&gt;0),F150/G150,""),"")</f>
        <v/>
      </c>
      <c r="I150" s="18" t="n"/>
      <c r="J150" s="18" t="n"/>
      <c r="K150" s="18" t="n"/>
      <c r="L150" s="18" t="n"/>
      <c r="M150" s="18" t="n"/>
      <c r="N150" s="22" t="n"/>
      <c r="O150" s="18" t="n"/>
      <c r="P150" s="18" t="n"/>
      <c r="Q150" s="23" t="n"/>
      <c r="R150" s="10">
        <f>IFERROR(IF(Q150="","",TODAY()-Q150),"")</f>
        <v/>
      </c>
      <c r="S150" s="18" t="n"/>
    </row>
    <row r="151">
      <c r="E151" s="24" t="n"/>
      <c r="F151" s="25" t="n"/>
      <c r="G151" s="26" t="n"/>
      <c r="H151" s="7">
        <f>IFERROR(IF(AND(F151&gt;0,G151&gt;0),F151/G151,""),"")</f>
        <v/>
      </c>
      <c r="N151" s="27" t="n"/>
      <c r="Q151" s="28" t="n"/>
      <c r="R151" s="10">
        <f>IFERROR(IF(Q151="","",TODAY()-Q151),"")</f>
        <v/>
      </c>
    </row>
    <row r="152">
      <c r="A152" s="18" t="n"/>
      <c r="B152" s="18" t="n"/>
      <c r="C152" s="18" t="n"/>
      <c r="D152" s="18" t="n"/>
      <c r="E152" s="19" t="n"/>
      <c r="F152" s="20" t="n"/>
      <c r="G152" s="21" t="n"/>
      <c r="H152" s="7">
        <f>IFERROR(IF(AND(F152&gt;0,G152&gt;0),F152/G152,""),"")</f>
        <v/>
      </c>
      <c r="I152" s="18" t="n"/>
      <c r="J152" s="18" t="n"/>
      <c r="K152" s="18" t="n"/>
      <c r="L152" s="18" t="n"/>
      <c r="M152" s="18" t="n"/>
      <c r="N152" s="22" t="n"/>
      <c r="O152" s="18" t="n"/>
      <c r="P152" s="18" t="n"/>
      <c r="Q152" s="23" t="n"/>
      <c r="R152" s="10">
        <f>IFERROR(IF(Q152="","",TODAY()-Q152),"")</f>
        <v/>
      </c>
      <c r="S152" s="18" t="n"/>
    </row>
    <row r="153">
      <c r="E153" s="24" t="n"/>
      <c r="F153" s="25" t="n"/>
      <c r="G153" s="26" t="n"/>
      <c r="H153" s="7">
        <f>IFERROR(IF(AND(F153&gt;0,G153&gt;0),F153/G153,""),"")</f>
        <v/>
      </c>
      <c r="N153" s="27" t="n"/>
      <c r="Q153" s="28" t="n"/>
      <c r="R153" s="10">
        <f>IFERROR(IF(Q153="","",TODAY()-Q153),"")</f>
        <v/>
      </c>
    </row>
    <row r="154">
      <c r="A154" s="18" t="n"/>
      <c r="B154" s="18" t="n"/>
      <c r="C154" s="18" t="n"/>
      <c r="D154" s="18" t="n"/>
      <c r="E154" s="19" t="n"/>
      <c r="F154" s="20" t="n"/>
      <c r="G154" s="21" t="n"/>
      <c r="H154" s="7">
        <f>IFERROR(IF(AND(F154&gt;0,G154&gt;0),F154/G154,""),"")</f>
        <v/>
      </c>
      <c r="I154" s="18" t="n"/>
      <c r="J154" s="18" t="n"/>
      <c r="K154" s="18" t="n"/>
      <c r="L154" s="18" t="n"/>
      <c r="M154" s="18" t="n"/>
      <c r="N154" s="22" t="n"/>
      <c r="O154" s="18" t="n"/>
      <c r="P154" s="18" t="n"/>
      <c r="Q154" s="23" t="n"/>
      <c r="R154" s="10">
        <f>IFERROR(IF(Q154="","",TODAY()-Q154),"")</f>
        <v/>
      </c>
      <c r="S154" s="18" t="n"/>
    </row>
    <row r="155">
      <c r="E155" s="24" t="n"/>
      <c r="F155" s="25" t="n"/>
      <c r="G155" s="26" t="n"/>
      <c r="H155" s="7">
        <f>IFERROR(IF(AND(F155&gt;0,G155&gt;0),F155/G155,""),"")</f>
        <v/>
      </c>
      <c r="N155" s="27" t="n"/>
      <c r="Q155" s="28" t="n"/>
      <c r="R155" s="10">
        <f>IFERROR(IF(Q155="","",TODAY()-Q155),"")</f>
        <v/>
      </c>
    </row>
    <row r="156">
      <c r="A156" s="18" t="n"/>
      <c r="B156" s="18" t="n"/>
      <c r="C156" s="18" t="n"/>
      <c r="D156" s="18" t="n"/>
      <c r="E156" s="19" t="n"/>
      <c r="F156" s="20" t="n"/>
      <c r="G156" s="21" t="n"/>
      <c r="H156" s="7">
        <f>IFERROR(IF(AND(F156&gt;0,G156&gt;0),F156/G156,""),"")</f>
        <v/>
      </c>
      <c r="I156" s="18" t="n"/>
      <c r="J156" s="18" t="n"/>
      <c r="K156" s="18" t="n"/>
      <c r="L156" s="18" t="n"/>
      <c r="M156" s="18" t="n"/>
      <c r="N156" s="22" t="n"/>
      <c r="O156" s="18" t="n"/>
      <c r="P156" s="18" t="n"/>
      <c r="Q156" s="23" t="n"/>
      <c r="R156" s="10">
        <f>IFERROR(IF(Q156="","",TODAY()-Q156),"")</f>
        <v/>
      </c>
      <c r="S156" s="18" t="n"/>
    </row>
    <row r="157">
      <c r="E157" s="24" t="n"/>
      <c r="F157" s="25" t="n"/>
      <c r="G157" s="26" t="n"/>
      <c r="H157" s="7">
        <f>IFERROR(IF(AND(F157&gt;0,G157&gt;0),F157/G157,""),"")</f>
        <v/>
      </c>
      <c r="N157" s="27" t="n"/>
      <c r="Q157" s="28" t="n"/>
      <c r="R157" s="10">
        <f>IFERROR(IF(Q157="","",TODAY()-Q157),"")</f>
        <v/>
      </c>
    </row>
    <row r="158">
      <c r="A158" s="18" t="n"/>
      <c r="B158" s="18" t="n"/>
      <c r="C158" s="18" t="n"/>
      <c r="D158" s="18" t="n"/>
      <c r="E158" s="19" t="n"/>
      <c r="F158" s="20" t="n"/>
      <c r="G158" s="21" t="n"/>
      <c r="H158" s="7">
        <f>IFERROR(IF(AND(F158&gt;0,G158&gt;0),F158/G158,""),"")</f>
        <v/>
      </c>
      <c r="I158" s="18" t="n"/>
      <c r="J158" s="18" t="n"/>
      <c r="K158" s="18" t="n"/>
      <c r="L158" s="18" t="n"/>
      <c r="M158" s="18" t="n"/>
      <c r="N158" s="22" t="n"/>
      <c r="O158" s="18" t="n"/>
      <c r="P158" s="18" t="n"/>
      <c r="Q158" s="23" t="n"/>
      <c r="R158" s="10">
        <f>IFERROR(IF(Q158="","",TODAY()-Q158),"")</f>
        <v/>
      </c>
      <c r="S158" s="18" t="n"/>
    </row>
    <row r="159">
      <c r="E159" s="24" t="n"/>
      <c r="F159" s="25" t="n"/>
      <c r="G159" s="26" t="n"/>
      <c r="H159" s="7">
        <f>IFERROR(IF(AND(F159&gt;0,G159&gt;0),F159/G159,""),"")</f>
        <v/>
      </c>
      <c r="N159" s="27" t="n"/>
      <c r="Q159" s="28" t="n"/>
      <c r="R159" s="10">
        <f>IFERROR(IF(Q159="","",TODAY()-Q159),"")</f>
        <v/>
      </c>
    </row>
    <row r="160">
      <c r="A160" s="18" t="n"/>
      <c r="B160" s="18" t="n"/>
      <c r="C160" s="18" t="n"/>
      <c r="D160" s="18" t="n"/>
      <c r="E160" s="19" t="n"/>
      <c r="F160" s="20" t="n"/>
      <c r="G160" s="21" t="n"/>
      <c r="H160" s="7">
        <f>IFERROR(IF(AND(F160&gt;0,G160&gt;0),F160/G160,""),"")</f>
        <v/>
      </c>
      <c r="I160" s="18" t="n"/>
      <c r="J160" s="18" t="n"/>
      <c r="K160" s="18" t="n"/>
      <c r="L160" s="18" t="n"/>
      <c r="M160" s="18" t="n"/>
      <c r="N160" s="22" t="n"/>
      <c r="O160" s="18" t="n"/>
      <c r="P160" s="18" t="n"/>
      <c r="Q160" s="23" t="n"/>
      <c r="R160" s="10">
        <f>IFERROR(IF(Q160="","",TODAY()-Q160),"")</f>
        <v/>
      </c>
      <c r="S160" s="18" t="n"/>
    </row>
    <row r="161">
      <c r="E161" s="24" t="n"/>
      <c r="F161" s="25" t="n"/>
      <c r="G161" s="26" t="n"/>
      <c r="H161" s="7">
        <f>IFERROR(IF(AND(F161&gt;0,G161&gt;0),F161/G161,""),"")</f>
        <v/>
      </c>
      <c r="N161" s="27" t="n"/>
      <c r="Q161" s="28" t="n"/>
      <c r="R161" s="10">
        <f>IFERROR(IF(Q161="","",TODAY()-Q161),"")</f>
        <v/>
      </c>
    </row>
    <row r="162">
      <c r="A162" s="18" t="n"/>
      <c r="B162" s="18" t="n"/>
      <c r="C162" s="18" t="n"/>
      <c r="D162" s="18" t="n"/>
      <c r="E162" s="19" t="n"/>
      <c r="F162" s="20" t="n"/>
      <c r="G162" s="21" t="n"/>
      <c r="H162" s="7">
        <f>IFERROR(IF(AND(F162&gt;0,G162&gt;0),F162/G162,""),"")</f>
        <v/>
      </c>
      <c r="I162" s="18" t="n"/>
      <c r="J162" s="18" t="n"/>
      <c r="K162" s="18" t="n"/>
      <c r="L162" s="18" t="n"/>
      <c r="M162" s="18" t="n"/>
      <c r="N162" s="22" t="n"/>
      <c r="O162" s="18" t="n"/>
      <c r="P162" s="18" t="n"/>
      <c r="Q162" s="23" t="n"/>
      <c r="R162" s="10">
        <f>IFERROR(IF(Q162="","",TODAY()-Q162),"")</f>
        <v/>
      </c>
      <c r="S162" s="18" t="n"/>
    </row>
    <row r="163">
      <c r="E163" s="24" t="n"/>
      <c r="F163" s="25" t="n"/>
      <c r="G163" s="26" t="n"/>
      <c r="H163" s="7">
        <f>IFERROR(IF(AND(F163&gt;0,G163&gt;0),F163/G163,""),"")</f>
        <v/>
      </c>
      <c r="N163" s="27" t="n"/>
      <c r="Q163" s="28" t="n"/>
      <c r="R163" s="10">
        <f>IFERROR(IF(Q163="","",TODAY()-Q163),"")</f>
        <v/>
      </c>
    </row>
    <row r="164">
      <c r="A164" s="18" t="n"/>
      <c r="B164" s="18" t="n"/>
      <c r="C164" s="18" t="n"/>
      <c r="D164" s="18" t="n"/>
      <c r="E164" s="19" t="n"/>
      <c r="F164" s="20" t="n"/>
      <c r="G164" s="21" t="n"/>
      <c r="H164" s="7">
        <f>IFERROR(IF(AND(F164&gt;0,G164&gt;0),F164/G164,""),"")</f>
        <v/>
      </c>
      <c r="I164" s="18" t="n"/>
      <c r="J164" s="18" t="n"/>
      <c r="K164" s="18" t="n"/>
      <c r="L164" s="18" t="n"/>
      <c r="M164" s="18" t="n"/>
      <c r="N164" s="22" t="n"/>
      <c r="O164" s="18" t="n"/>
      <c r="P164" s="18" t="n"/>
      <c r="Q164" s="23" t="n"/>
      <c r="R164" s="10">
        <f>IFERROR(IF(Q164="","",TODAY()-Q164),"")</f>
        <v/>
      </c>
      <c r="S164" s="18" t="n"/>
    </row>
    <row r="165">
      <c r="E165" s="24" t="n"/>
      <c r="F165" s="25" t="n"/>
      <c r="G165" s="26" t="n"/>
      <c r="H165" s="7">
        <f>IFERROR(IF(AND(F165&gt;0,G165&gt;0),F165/G165,""),"")</f>
        <v/>
      </c>
      <c r="N165" s="27" t="n"/>
      <c r="Q165" s="28" t="n"/>
      <c r="R165" s="10">
        <f>IFERROR(IF(Q165="","",TODAY()-Q165),"")</f>
        <v/>
      </c>
    </row>
    <row r="166">
      <c r="A166" s="18" t="n"/>
      <c r="B166" s="18" t="n"/>
      <c r="C166" s="18" t="n"/>
      <c r="D166" s="18" t="n"/>
      <c r="E166" s="19" t="n"/>
      <c r="F166" s="20" t="n"/>
      <c r="G166" s="21" t="n"/>
      <c r="H166" s="7">
        <f>IFERROR(IF(AND(F166&gt;0,G166&gt;0),F166/G166,""),"")</f>
        <v/>
      </c>
      <c r="I166" s="18" t="n"/>
      <c r="J166" s="18" t="n"/>
      <c r="K166" s="18" t="n"/>
      <c r="L166" s="18" t="n"/>
      <c r="M166" s="18" t="n"/>
      <c r="N166" s="22" t="n"/>
      <c r="O166" s="18" t="n"/>
      <c r="P166" s="18" t="n"/>
      <c r="Q166" s="23" t="n"/>
      <c r="R166" s="10">
        <f>IFERROR(IF(Q166="","",TODAY()-Q166),"")</f>
        <v/>
      </c>
      <c r="S166" s="18" t="n"/>
    </row>
    <row r="167">
      <c r="E167" s="24" t="n"/>
      <c r="F167" s="25" t="n"/>
      <c r="G167" s="26" t="n"/>
      <c r="H167" s="7">
        <f>IFERROR(IF(AND(F167&gt;0,G167&gt;0),F167/G167,""),"")</f>
        <v/>
      </c>
      <c r="N167" s="27" t="n"/>
      <c r="Q167" s="28" t="n"/>
      <c r="R167" s="10">
        <f>IFERROR(IF(Q167="","",TODAY()-Q167),"")</f>
        <v/>
      </c>
    </row>
    <row r="168">
      <c r="A168" s="18" t="n"/>
      <c r="B168" s="18" t="n"/>
      <c r="C168" s="18" t="n"/>
      <c r="D168" s="18" t="n"/>
      <c r="E168" s="19" t="n"/>
      <c r="F168" s="20" t="n"/>
      <c r="G168" s="21" t="n"/>
      <c r="H168" s="7">
        <f>IFERROR(IF(AND(F168&gt;0,G168&gt;0),F168/G168,""),"")</f>
        <v/>
      </c>
      <c r="I168" s="18" t="n"/>
      <c r="J168" s="18" t="n"/>
      <c r="K168" s="18" t="n"/>
      <c r="L168" s="18" t="n"/>
      <c r="M168" s="18" t="n"/>
      <c r="N168" s="22" t="n"/>
      <c r="O168" s="18" t="n"/>
      <c r="P168" s="18" t="n"/>
      <c r="Q168" s="23" t="n"/>
      <c r="R168" s="10">
        <f>IFERROR(IF(Q168="","",TODAY()-Q168),"")</f>
        <v/>
      </c>
      <c r="S168" s="18" t="n"/>
    </row>
    <row r="169">
      <c r="E169" s="24" t="n"/>
      <c r="F169" s="25" t="n"/>
      <c r="G169" s="26" t="n"/>
      <c r="H169" s="7">
        <f>IFERROR(IF(AND(F169&gt;0,G169&gt;0),F169/G169,""),"")</f>
        <v/>
      </c>
      <c r="N169" s="27" t="n"/>
      <c r="Q169" s="28" t="n"/>
      <c r="R169" s="10">
        <f>IFERROR(IF(Q169="","",TODAY()-Q169),"")</f>
        <v/>
      </c>
    </row>
    <row r="170">
      <c r="A170" s="18" t="n"/>
      <c r="B170" s="18" t="n"/>
      <c r="C170" s="18" t="n"/>
      <c r="D170" s="18" t="n"/>
      <c r="E170" s="19" t="n"/>
      <c r="F170" s="20" t="n"/>
      <c r="G170" s="21" t="n"/>
      <c r="H170" s="7">
        <f>IFERROR(IF(AND(F170&gt;0,G170&gt;0),F170/G170,""),"")</f>
        <v/>
      </c>
      <c r="I170" s="18" t="n"/>
      <c r="J170" s="18" t="n"/>
      <c r="K170" s="18" t="n"/>
      <c r="L170" s="18" t="n"/>
      <c r="M170" s="18" t="n"/>
      <c r="N170" s="22" t="n"/>
      <c r="O170" s="18" t="n"/>
      <c r="P170" s="18" t="n"/>
      <c r="Q170" s="23" t="n"/>
      <c r="R170" s="10">
        <f>IFERROR(IF(Q170="","",TODAY()-Q170),"")</f>
        <v/>
      </c>
      <c r="S170" s="18" t="n"/>
    </row>
    <row r="171">
      <c r="E171" s="24" t="n"/>
      <c r="F171" s="25" t="n"/>
      <c r="G171" s="26" t="n"/>
      <c r="H171" s="7">
        <f>IFERROR(IF(AND(F171&gt;0,G171&gt;0),F171/G171,""),"")</f>
        <v/>
      </c>
      <c r="N171" s="27" t="n"/>
      <c r="Q171" s="28" t="n"/>
      <c r="R171" s="10">
        <f>IFERROR(IF(Q171="","",TODAY()-Q171),"")</f>
        <v/>
      </c>
    </row>
    <row r="172">
      <c r="A172" s="18" t="n"/>
      <c r="B172" s="18" t="n"/>
      <c r="C172" s="18" t="n"/>
      <c r="D172" s="18" t="n"/>
      <c r="E172" s="19" t="n"/>
      <c r="F172" s="20" t="n"/>
      <c r="G172" s="21" t="n"/>
      <c r="H172" s="7">
        <f>IFERROR(IF(AND(F172&gt;0,G172&gt;0),F172/G172,""),"")</f>
        <v/>
      </c>
      <c r="I172" s="18" t="n"/>
      <c r="J172" s="18" t="n"/>
      <c r="K172" s="18" t="n"/>
      <c r="L172" s="18" t="n"/>
      <c r="M172" s="18" t="n"/>
      <c r="N172" s="22" t="n"/>
      <c r="O172" s="18" t="n"/>
      <c r="P172" s="18" t="n"/>
      <c r="Q172" s="23" t="n"/>
      <c r="R172" s="10">
        <f>IFERROR(IF(Q172="","",TODAY()-Q172),"")</f>
        <v/>
      </c>
      <c r="S172" s="18" t="n"/>
    </row>
    <row r="173">
      <c r="E173" s="24" t="n"/>
      <c r="F173" s="25" t="n"/>
      <c r="G173" s="26" t="n"/>
      <c r="H173" s="7">
        <f>IFERROR(IF(AND(F173&gt;0,G173&gt;0),F173/G173,""),"")</f>
        <v/>
      </c>
      <c r="N173" s="27" t="n"/>
      <c r="Q173" s="28" t="n"/>
      <c r="R173" s="10">
        <f>IFERROR(IF(Q173="","",TODAY()-Q173),"")</f>
        <v/>
      </c>
    </row>
    <row r="174">
      <c r="A174" s="18" t="n"/>
      <c r="B174" s="18" t="n"/>
      <c r="C174" s="18" t="n"/>
      <c r="D174" s="18" t="n"/>
      <c r="E174" s="19" t="n"/>
      <c r="F174" s="20" t="n"/>
      <c r="G174" s="21" t="n"/>
      <c r="H174" s="7">
        <f>IFERROR(IF(AND(F174&gt;0,G174&gt;0),F174/G174,""),"")</f>
        <v/>
      </c>
      <c r="I174" s="18" t="n"/>
      <c r="J174" s="18" t="n"/>
      <c r="K174" s="18" t="n"/>
      <c r="L174" s="18" t="n"/>
      <c r="M174" s="18" t="n"/>
      <c r="N174" s="22" t="n"/>
      <c r="O174" s="18" t="n"/>
      <c r="P174" s="18" t="n"/>
      <c r="Q174" s="23" t="n"/>
      <c r="R174" s="10">
        <f>IFERROR(IF(Q174="","",TODAY()-Q174),"")</f>
        <v/>
      </c>
      <c r="S174" s="18" t="n"/>
    </row>
    <row r="175">
      <c r="E175" s="24" t="n"/>
      <c r="F175" s="25" t="n"/>
      <c r="G175" s="26" t="n"/>
      <c r="H175" s="7">
        <f>IFERROR(IF(AND(F175&gt;0,G175&gt;0),F175/G175,""),"")</f>
        <v/>
      </c>
      <c r="N175" s="27" t="n"/>
      <c r="Q175" s="28" t="n"/>
      <c r="R175" s="10">
        <f>IFERROR(IF(Q175="","",TODAY()-Q175),"")</f>
        <v/>
      </c>
    </row>
    <row r="176">
      <c r="A176" s="18" t="n"/>
      <c r="B176" s="18" t="n"/>
      <c r="C176" s="18" t="n"/>
      <c r="D176" s="18" t="n"/>
      <c r="E176" s="19" t="n"/>
      <c r="F176" s="20" t="n"/>
      <c r="G176" s="21" t="n"/>
      <c r="H176" s="7">
        <f>IFERROR(IF(AND(F176&gt;0,G176&gt;0),F176/G176,""),"")</f>
        <v/>
      </c>
      <c r="I176" s="18" t="n"/>
      <c r="J176" s="18" t="n"/>
      <c r="K176" s="18" t="n"/>
      <c r="L176" s="18" t="n"/>
      <c r="M176" s="18" t="n"/>
      <c r="N176" s="22" t="n"/>
      <c r="O176" s="18" t="n"/>
      <c r="P176" s="18" t="n"/>
      <c r="Q176" s="23" t="n"/>
      <c r="R176" s="10">
        <f>IFERROR(IF(Q176="","",TODAY()-Q176),"")</f>
        <v/>
      </c>
      <c r="S176" s="18" t="n"/>
    </row>
    <row r="177">
      <c r="E177" s="24" t="n"/>
      <c r="F177" s="25" t="n"/>
      <c r="G177" s="26" t="n"/>
      <c r="H177" s="7">
        <f>IFERROR(IF(AND(F177&gt;0,G177&gt;0),F177/G177,""),"")</f>
        <v/>
      </c>
      <c r="N177" s="27" t="n"/>
      <c r="Q177" s="28" t="n"/>
      <c r="R177" s="10">
        <f>IFERROR(IF(Q177="","",TODAY()-Q177),"")</f>
        <v/>
      </c>
    </row>
    <row r="178">
      <c r="A178" s="18" t="n"/>
      <c r="B178" s="18" t="n"/>
      <c r="C178" s="18" t="n"/>
      <c r="D178" s="18" t="n"/>
      <c r="E178" s="19" t="n"/>
      <c r="F178" s="20" t="n"/>
      <c r="G178" s="21" t="n"/>
      <c r="H178" s="7">
        <f>IFERROR(IF(AND(F178&gt;0,G178&gt;0),F178/G178,""),"")</f>
        <v/>
      </c>
      <c r="I178" s="18" t="n"/>
      <c r="J178" s="18" t="n"/>
      <c r="K178" s="18" t="n"/>
      <c r="L178" s="18" t="n"/>
      <c r="M178" s="18" t="n"/>
      <c r="N178" s="22" t="n"/>
      <c r="O178" s="18" t="n"/>
      <c r="P178" s="18" t="n"/>
      <c r="Q178" s="23" t="n"/>
      <c r="R178" s="10">
        <f>IFERROR(IF(Q178="","",TODAY()-Q178),"")</f>
        <v/>
      </c>
      <c r="S178" s="18" t="n"/>
    </row>
    <row r="179">
      <c r="E179" s="24" t="n"/>
      <c r="F179" s="25" t="n"/>
      <c r="G179" s="26" t="n"/>
      <c r="H179" s="7">
        <f>IFERROR(IF(AND(F179&gt;0,G179&gt;0),F179/G179,""),"")</f>
        <v/>
      </c>
      <c r="N179" s="27" t="n"/>
      <c r="Q179" s="28" t="n"/>
      <c r="R179" s="10">
        <f>IFERROR(IF(Q179="","",TODAY()-Q179),"")</f>
        <v/>
      </c>
    </row>
    <row r="180">
      <c r="A180" s="18" t="n"/>
      <c r="B180" s="18" t="n"/>
      <c r="C180" s="18" t="n"/>
      <c r="D180" s="18" t="n"/>
      <c r="E180" s="19" t="n"/>
      <c r="F180" s="20" t="n"/>
      <c r="G180" s="21" t="n"/>
      <c r="H180" s="7">
        <f>IFERROR(IF(AND(F180&gt;0,G180&gt;0),F180/G180,""),"")</f>
        <v/>
      </c>
      <c r="I180" s="18" t="n"/>
      <c r="J180" s="18" t="n"/>
      <c r="K180" s="18" t="n"/>
      <c r="L180" s="18" t="n"/>
      <c r="M180" s="18" t="n"/>
      <c r="N180" s="22" t="n"/>
      <c r="O180" s="18" t="n"/>
      <c r="P180" s="18" t="n"/>
      <c r="Q180" s="23" t="n"/>
      <c r="R180" s="10">
        <f>IFERROR(IF(Q180="","",TODAY()-Q180),"")</f>
        <v/>
      </c>
      <c r="S180" s="18" t="n"/>
    </row>
    <row r="181">
      <c r="E181" s="24" t="n"/>
      <c r="F181" s="25" t="n"/>
      <c r="G181" s="26" t="n"/>
      <c r="H181" s="7">
        <f>IFERROR(IF(AND(F181&gt;0,G181&gt;0),F181/G181,""),"")</f>
        <v/>
      </c>
      <c r="N181" s="27" t="n"/>
      <c r="Q181" s="28" t="n"/>
      <c r="R181" s="10">
        <f>IFERROR(IF(Q181="","",TODAY()-Q181),"")</f>
        <v/>
      </c>
    </row>
    <row r="182">
      <c r="A182" s="18" t="n"/>
      <c r="B182" s="18" t="n"/>
      <c r="C182" s="18" t="n"/>
      <c r="D182" s="18" t="n"/>
      <c r="E182" s="19" t="n"/>
      <c r="F182" s="20" t="n"/>
      <c r="G182" s="21" t="n"/>
      <c r="H182" s="7">
        <f>IFERROR(IF(AND(F182&gt;0,G182&gt;0),F182/G182,""),"")</f>
        <v/>
      </c>
      <c r="I182" s="18" t="n"/>
      <c r="J182" s="18" t="n"/>
      <c r="K182" s="18" t="n"/>
      <c r="L182" s="18" t="n"/>
      <c r="M182" s="18" t="n"/>
      <c r="N182" s="22" t="n"/>
      <c r="O182" s="18" t="n"/>
      <c r="P182" s="18" t="n"/>
      <c r="Q182" s="23" t="n"/>
      <c r="R182" s="10">
        <f>IFERROR(IF(Q182="","",TODAY()-Q182),"")</f>
        <v/>
      </c>
      <c r="S182" s="18" t="n"/>
    </row>
    <row r="183">
      <c r="E183" s="24" t="n"/>
      <c r="F183" s="25" t="n"/>
      <c r="G183" s="26" t="n"/>
      <c r="H183" s="7">
        <f>IFERROR(IF(AND(F183&gt;0,G183&gt;0),F183/G183,""),"")</f>
        <v/>
      </c>
      <c r="N183" s="27" t="n"/>
      <c r="Q183" s="28" t="n"/>
      <c r="R183" s="10">
        <f>IFERROR(IF(Q183="","",TODAY()-Q183),"")</f>
        <v/>
      </c>
    </row>
    <row r="184">
      <c r="A184" s="18" t="n"/>
      <c r="B184" s="18" t="n"/>
      <c r="C184" s="18" t="n"/>
      <c r="D184" s="18" t="n"/>
      <c r="E184" s="19" t="n"/>
      <c r="F184" s="20" t="n"/>
      <c r="G184" s="21" t="n"/>
      <c r="H184" s="7">
        <f>IFERROR(IF(AND(F184&gt;0,G184&gt;0),F184/G184,""),"")</f>
        <v/>
      </c>
      <c r="I184" s="18" t="n"/>
      <c r="J184" s="18" t="n"/>
      <c r="K184" s="18" t="n"/>
      <c r="L184" s="18" t="n"/>
      <c r="M184" s="18" t="n"/>
      <c r="N184" s="22" t="n"/>
      <c r="O184" s="18" t="n"/>
      <c r="P184" s="18" t="n"/>
      <c r="Q184" s="23" t="n"/>
      <c r="R184" s="10">
        <f>IFERROR(IF(Q184="","",TODAY()-Q184),"")</f>
        <v/>
      </c>
      <c r="S184" s="18" t="n"/>
    </row>
    <row r="185">
      <c r="E185" s="24" t="n"/>
      <c r="F185" s="25" t="n"/>
      <c r="G185" s="26" t="n"/>
      <c r="H185" s="7">
        <f>IFERROR(IF(AND(F185&gt;0,G185&gt;0),F185/G185,""),"")</f>
        <v/>
      </c>
      <c r="N185" s="27" t="n"/>
      <c r="Q185" s="28" t="n"/>
      <c r="R185" s="10">
        <f>IFERROR(IF(Q185="","",TODAY()-Q185),"")</f>
        <v/>
      </c>
    </row>
    <row r="186">
      <c r="A186" s="18" t="n"/>
      <c r="B186" s="18" t="n"/>
      <c r="C186" s="18" t="n"/>
      <c r="D186" s="18" t="n"/>
      <c r="E186" s="19" t="n"/>
      <c r="F186" s="20" t="n"/>
      <c r="G186" s="21" t="n"/>
      <c r="H186" s="7">
        <f>IFERROR(IF(AND(F186&gt;0,G186&gt;0),F186/G186,""),"")</f>
        <v/>
      </c>
      <c r="I186" s="18" t="n"/>
      <c r="J186" s="18" t="n"/>
      <c r="K186" s="18" t="n"/>
      <c r="L186" s="18" t="n"/>
      <c r="M186" s="18" t="n"/>
      <c r="N186" s="22" t="n"/>
      <c r="O186" s="18" t="n"/>
      <c r="P186" s="18" t="n"/>
      <c r="Q186" s="23" t="n"/>
      <c r="R186" s="10">
        <f>IFERROR(IF(Q186="","",TODAY()-Q186),"")</f>
        <v/>
      </c>
      <c r="S186" s="18" t="n"/>
    </row>
    <row r="187">
      <c r="E187" s="24" t="n"/>
      <c r="F187" s="25" t="n"/>
      <c r="G187" s="26" t="n"/>
      <c r="H187" s="7">
        <f>IFERROR(IF(AND(F187&gt;0,G187&gt;0),F187/G187,""),"")</f>
        <v/>
      </c>
      <c r="N187" s="27" t="n"/>
      <c r="Q187" s="28" t="n"/>
      <c r="R187" s="10">
        <f>IFERROR(IF(Q187="","",TODAY()-Q187),"")</f>
        <v/>
      </c>
    </row>
    <row r="188">
      <c r="A188" s="18" t="n"/>
      <c r="B188" s="18" t="n"/>
      <c r="C188" s="18" t="n"/>
      <c r="D188" s="18" t="n"/>
      <c r="E188" s="19" t="n"/>
      <c r="F188" s="20" t="n"/>
      <c r="G188" s="21" t="n"/>
      <c r="H188" s="7">
        <f>IFERROR(IF(AND(F188&gt;0,G188&gt;0),F188/G188,""),"")</f>
        <v/>
      </c>
      <c r="I188" s="18" t="n"/>
      <c r="J188" s="18" t="n"/>
      <c r="K188" s="18" t="n"/>
      <c r="L188" s="18" t="n"/>
      <c r="M188" s="18" t="n"/>
      <c r="N188" s="22" t="n"/>
      <c r="O188" s="18" t="n"/>
      <c r="P188" s="18" t="n"/>
      <c r="Q188" s="23" t="n"/>
      <c r="R188" s="10">
        <f>IFERROR(IF(Q188="","",TODAY()-Q188),"")</f>
        <v/>
      </c>
      <c r="S188" s="18" t="n"/>
    </row>
    <row r="189">
      <c r="E189" s="24" t="n"/>
      <c r="F189" s="25" t="n"/>
      <c r="G189" s="26" t="n"/>
      <c r="H189" s="7">
        <f>IFERROR(IF(AND(F189&gt;0,G189&gt;0),F189/G189,""),"")</f>
        <v/>
      </c>
      <c r="N189" s="27" t="n"/>
      <c r="Q189" s="28" t="n"/>
      <c r="R189" s="10">
        <f>IFERROR(IF(Q189="","",TODAY()-Q189),"")</f>
        <v/>
      </c>
    </row>
    <row r="190">
      <c r="A190" s="18" t="n"/>
      <c r="B190" s="18" t="n"/>
      <c r="C190" s="18" t="n"/>
      <c r="D190" s="18" t="n"/>
      <c r="E190" s="19" t="n"/>
      <c r="F190" s="20" t="n"/>
      <c r="G190" s="21" t="n"/>
      <c r="H190" s="7">
        <f>IFERROR(IF(AND(F190&gt;0,G190&gt;0),F190/G190,""),"")</f>
        <v/>
      </c>
      <c r="I190" s="18" t="n"/>
      <c r="J190" s="18" t="n"/>
      <c r="K190" s="18" t="n"/>
      <c r="L190" s="18" t="n"/>
      <c r="M190" s="18" t="n"/>
      <c r="N190" s="22" t="n"/>
      <c r="O190" s="18" t="n"/>
      <c r="P190" s="18" t="n"/>
      <c r="Q190" s="23" t="n"/>
      <c r="R190" s="10">
        <f>IFERROR(IF(Q190="","",TODAY()-Q190),"")</f>
        <v/>
      </c>
      <c r="S190" s="18" t="n"/>
    </row>
    <row r="191">
      <c r="E191" s="24" t="n"/>
      <c r="F191" s="25" t="n"/>
      <c r="G191" s="26" t="n"/>
      <c r="H191" s="7">
        <f>IFERROR(IF(AND(F191&gt;0,G191&gt;0),F191/G191,""),"")</f>
        <v/>
      </c>
      <c r="N191" s="27" t="n"/>
      <c r="Q191" s="28" t="n"/>
      <c r="R191" s="10">
        <f>IFERROR(IF(Q191="","",TODAY()-Q191),"")</f>
        <v/>
      </c>
    </row>
    <row r="192">
      <c r="A192" s="18" t="n"/>
      <c r="B192" s="18" t="n"/>
      <c r="C192" s="18" t="n"/>
      <c r="D192" s="18" t="n"/>
      <c r="E192" s="19" t="n"/>
      <c r="F192" s="20" t="n"/>
      <c r="G192" s="21" t="n"/>
      <c r="H192" s="7">
        <f>IFERROR(IF(AND(F192&gt;0,G192&gt;0),F192/G192,""),"")</f>
        <v/>
      </c>
      <c r="I192" s="18" t="n"/>
      <c r="J192" s="18" t="n"/>
      <c r="K192" s="18" t="n"/>
      <c r="L192" s="18" t="n"/>
      <c r="M192" s="18" t="n"/>
      <c r="N192" s="22" t="n"/>
      <c r="O192" s="18" t="n"/>
      <c r="P192" s="18" t="n"/>
      <c r="Q192" s="23" t="n"/>
      <c r="R192" s="10">
        <f>IFERROR(IF(Q192="","",TODAY()-Q192),"")</f>
        <v/>
      </c>
      <c r="S192" s="18" t="n"/>
    </row>
    <row r="193">
      <c r="E193" s="24" t="n"/>
      <c r="F193" s="25" t="n"/>
      <c r="G193" s="26" t="n"/>
      <c r="H193" s="7">
        <f>IFERROR(IF(AND(F193&gt;0,G193&gt;0),F193/G193,""),"")</f>
        <v/>
      </c>
      <c r="N193" s="27" t="n"/>
      <c r="Q193" s="28" t="n"/>
      <c r="R193" s="10">
        <f>IFERROR(IF(Q193="","",TODAY()-Q193),"")</f>
        <v/>
      </c>
    </row>
    <row r="194">
      <c r="A194" s="18" t="n"/>
      <c r="B194" s="18" t="n"/>
      <c r="C194" s="18" t="n"/>
      <c r="D194" s="18" t="n"/>
      <c r="E194" s="19" t="n"/>
      <c r="F194" s="20" t="n"/>
      <c r="G194" s="21" t="n"/>
      <c r="H194" s="7">
        <f>IFERROR(IF(AND(F194&gt;0,G194&gt;0),F194/G194,""),"")</f>
        <v/>
      </c>
      <c r="I194" s="18" t="n"/>
      <c r="J194" s="18" t="n"/>
      <c r="K194" s="18" t="n"/>
      <c r="L194" s="18" t="n"/>
      <c r="M194" s="18" t="n"/>
      <c r="N194" s="22" t="n"/>
      <c r="O194" s="18" t="n"/>
      <c r="P194" s="18" t="n"/>
      <c r="Q194" s="23" t="n"/>
      <c r="R194" s="10">
        <f>IFERROR(IF(Q194="","",TODAY()-Q194),"")</f>
        <v/>
      </c>
      <c r="S194" s="18" t="n"/>
    </row>
    <row r="195">
      <c r="E195" s="24" t="n"/>
      <c r="F195" s="25" t="n"/>
      <c r="G195" s="26" t="n"/>
      <c r="H195" s="7">
        <f>IFERROR(IF(AND(F195&gt;0,G195&gt;0),F195/G195,""),"")</f>
        <v/>
      </c>
      <c r="N195" s="27" t="n"/>
      <c r="Q195" s="28" t="n"/>
      <c r="R195" s="10">
        <f>IFERROR(IF(Q195="","",TODAY()-Q195),"")</f>
        <v/>
      </c>
    </row>
    <row r="196">
      <c r="A196" s="18" t="n"/>
      <c r="B196" s="18" t="n"/>
      <c r="C196" s="18" t="n"/>
      <c r="D196" s="18" t="n"/>
      <c r="E196" s="19" t="n"/>
      <c r="F196" s="20" t="n"/>
      <c r="G196" s="21" t="n"/>
      <c r="H196" s="7">
        <f>IFERROR(IF(AND(F196&gt;0,G196&gt;0),F196/G196,""),"")</f>
        <v/>
      </c>
      <c r="I196" s="18" t="n"/>
      <c r="J196" s="18" t="n"/>
      <c r="K196" s="18" t="n"/>
      <c r="L196" s="18" t="n"/>
      <c r="M196" s="18" t="n"/>
      <c r="N196" s="22" t="n"/>
      <c r="O196" s="18" t="n"/>
      <c r="P196" s="18" t="n"/>
      <c r="Q196" s="23" t="n"/>
      <c r="R196" s="10">
        <f>IFERROR(IF(Q196="","",TODAY()-Q196),"")</f>
        <v/>
      </c>
      <c r="S196" s="18" t="n"/>
    </row>
    <row r="197">
      <c r="E197" s="24" t="n"/>
      <c r="F197" s="25" t="n"/>
      <c r="G197" s="26" t="n"/>
      <c r="H197" s="7">
        <f>IFERROR(IF(AND(F197&gt;0,G197&gt;0),F197/G197,""),"")</f>
        <v/>
      </c>
      <c r="N197" s="27" t="n"/>
      <c r="Q197" s="28" t="n"/>
      <c r="R197" s="10">
        <f>IFERROR(IF(Q197="","",TODAY()-Q197),"")</f>
        <v/>
      </c>
    </row>
    <row r="198">
      <c r="A198" s="18" t="n"/>
      <c r="B198" s="18" t="n"/>
      <c r="C198" s="18" t="n"/>
      <c r="D198" s="18" t="n"/>
      <c r="E198" s="19" t="n"/>
      <c r="F198" s="20" t="n"/>
      <c r="G198" s="21" t="n"/>
      <c r="H198" s="7">
        <f>IFERROR(IF(AND(F198&gt;0,G198&gt;0),F198/G198,""),"")</f>
        <v/>
      </c>
      <c r="I198" s="18" t="n"/>
      <c r="J198" s="18" t="n"/>
      <c r="K198" s="18" t="n"/>
      <c r="L198" s="18" t="n"/>
      <c r="M198" s="18" t="n"/>
      <c r="N198" s="22" t="n"/>
      <c r="O198" s="18" t="n"/>
      <c r="P198" s="18" t="n"/>
      <c r="Q198" s="23" t="n"/>
      <c r="R198" s="10">
        <f>IFERROR(IF(Q198="","",TODAY()-Q198),"")</f>
        <v/>
      </c>
      <c r="S198" s="18" t="n"/>
    </row>
    <row r="199">
      <c r="E199" s="24" t="n"/>
      <c r="F199" s="25" t="n"/>
      <c r="G199" s="26" t="n"/>
      <c r="H199" s="7">
        <f>IFERROR(IF(AND(F199&gt;0,G199&gt;0),F199/G199,""),"")</f>
        <v/>
      </c>
      <c r="N199" s="27" t="n"/>
      <c r="Q199" s="28" t="n"/>
      <c r="R199" s="10">
        <f>IFERROR(IF(Q199="","",TODAY()-Q199),"")</f>
        <v/>
      </c>
    </row>
    <row r="200">
      <c r="A200" s="18" t="n"/>
      <c r="B200" s="18" t="n"/>
      <c r="C200" s="18" t="n"/>
      <c r="D200" s="18" t="n"/>
      <c r="E200" s="19" t="n"/>
      <c r="F200" s="20" t="n"/>
      <c r="G200" s="21" t="n"/>
      <c r="H200" s="7">
        <f>IFERROR(IF(AND(F200&gt;0,G200&gt;0),F200/G200,""),"")</f>
        <v/>
      </c>
      <c r="I200" s="18" t="n"/>
      <c r="J200" s="18" t="n"/>
      <c r="K200" s="18" t="n"/>
      <c r="L200" s="18" t="n"/>
      <c r="M200" s="18" t="n"/>
      <c r="N200" s="22" t="n"/>
      <c r="O200" s="18" t="n"/>
      <c r="P200" s="18" t="n"/>
      <c r="Q200" s="23" t="n"/>
      <c r="R200" s="10">
        <f>IFERROR(IF(Q200="","",TODAY()-Q200),"")</f>
        <v/>
      </c>
      <c r="S200" s="18" t="n"/>
    </row>
    <row r="201">
      <c r="E201" s="24" t="n"/>
      <c r="F201" s="25" t="n"/>
      <c r="G201" s="26" t="n"/>
      <c r="H201" s="7">
        <f>IFERROR(IF(AND(F201&gt;0,G201&gt;0),F201/G201,""),"")</f>
        <v/>
      </c>
      <c r="N201" s="27" t="n"/>
      <c r="Q201" s="28" t="n"/>
      <c r="R201" s="10">
        <f>IFERROR(IF(Q201="","",TODAY()-Q201),"")</f>
        <v/>
      </c>
    </row>
  </sheetData>
  <dataValidations count="5">
    <dataValidation sqref="B2:B201" showDropDown="0" showInputMessage="0" showErrorMessage="0" allowBlank="1" type="list">
      <formula1>"Sale,Rent"</formula1>
    </dataValidation>
    <dataValidation sqref="L2:L201" showDropDown="0" showInputMessage="0" showErrorMessage="0" allowBlank="1" type="list">
      <formula1>"Yes,No"</formula1>
    </dataValidation>
    <dataValidation sqref="O2:O201" showDropDown="0" showInputMessage="0" showErrorMessage="0" allowBlank="1" type="list">
      <formula1>"Yes,No"</formula1>
    </dataValidation>
    <dataValidation sqref="P2:P201" showDropDown="0" showInputMessage="0" showErrorMessage="0" allowBlank="1" type="list">
      <formula1>"Yes,No"</formula1>
    </dataValidation>
    <dataValidation sqref="M2:M201" showDropDown="0" showInputMessage="0" showErrorMessage="0" allowBlank="1" type="list">
      <formula1>"New,Renovated,To renovate"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4" customWidth="1" min="4" max="4"/>
  </cols>
  <sheetData>
    <row r="1" ht="30" customHeight="1">
      <c r="A1" s="29" t="inlineStr">
        <is>
          <t>REAL ESTATE INVESTMENT — ANALYSIS DASHBOARD</t>
        </is>
      </c>
    </row>
    <row r="2">
      <c r="A2" s="30" t="inlineStr">
        <is>
          <t>All metrics auto-update from the INPUT_DATA sheet. Empty rows are ignored.</t>
        </is>
      </c>
    </row>
    <row r="4">
      <c r="A4" s="31" t="inlineStr">
        <is>
          <t>A) SALES ANALYSIS  (price per m²)</t>
        </is>
      </c>
    </row>
    <row r="5">
      <c r="A5" s="32" t="inlineStr">
        <is>
          <t>Average Price per m² (Sale)</t>
        </is>
      </c>
      <c r="B5" s="7">
        <f>IFERROR(AVERAGEIFS(INPUT_DATA!$H$2:$H$201,INPUT_DATA!$B$2:$B$201,"Sale",INPUT_DATA!$H$2:$H$201,"&gt;0"),0)</f>
        <v/>
      </c>
    </row>
    <row r="6">
      <c r="A6" s="32" t="inlineStr">
        <is>
          <t>Median Price per m² (Sale)</t>
        </is>
      </c>
      <c r="B6" s="7">
        <f>IFERROR(AGGREGATE(17,6,INPUT_DATA!$H$2:$H$201/((INPUT_DATA!$B$2:$B$201="Sale")*(INPUT_DATA!$H$2:$H$201&gt;0)),2),0)</f>
        <v/>
      </c>
    </row>
    <row r="7">
      <c r="A7" s="32" t="inlineStr">
        <is>
          <t>Min Price per m² (Sale)</t>
        </is>
      </c>
      <c r="B7" s="7">
        <f>IFERROR(MINIFS(INPUT_DATA!$H$2:$H$201,INPUT_DATA!$B$2:$B$201,"Sale",INPUT_DATA!$H$2:$H$201,"&gt;0"),0)</f>
        <v/>
      </c>
    </row>
    <row r="8">
      <c r="A8" s="32" t="inlineStr">
        <is>
          <t>Max Price per m² (Sale)</t>
        </is>
      </c>
      <c r="B8" s="7">
        <f>IFERROR(MAXIFS(INPUT_DATA!$H$2:$H$201,INPUT_DATA!$B$2:$B$201,"Sale",INPUT_DATA!$H$2:$H$201,"&gt;0"),0)</f>
        <v/>
      </c>
    </row>
    <row r="9">
      <c r="A9" s="32" t="inlineStr">
        <is>
          <t>Count (Sale listings)</t>
        </is>
      </c>
      <c r="B9" s="33">
        <f>COUNTIFS(INPUT_DATA!$B$2:$B$201,"Sale",INPUT_DATA!$F$2:$F$201,"&gt;0")</f>
        <v/>
      </c>
    </row>
    <row r="11">
      <c r="A11" s="31" t="inlineStr">
        <is>
          <t>B) RENT ANALYSIS  (monthly €)</t>
        </is>
      </c>
    </row>
    <row r="12">
      <c r="A12" s="32" t="inlineStr">
        <is>
          <t>Avg Monthly Rent</t>
        </is>
      </c>
      <c r="B12" s="7">
        <f>IFERROR(AVERAGEIFS(INPUT_DATA!$F$2:$F$201,INPUT_DATA!$B$2:$B$201,"Rent",INPUT_DATA!$F$2:$F$201,"&gt;0"),0)</f>
        <v/>
      </c>
    </row>
    <row r="13">
      <c r="A13" s="32" t="inlineStr">
        <is>
          <t>Avg Rent per m²</t>
        </is>
      </c>
      <c r="B13" s="7">
        <f>IFERROR(AVERAGEIFS(INPUT_DATA!$H$2:$H$201,INPUT_DATA!$B$2:$B$201,"Rent",INPUT_DATA!$H$2:$H$201,"&gt;0"),0)</f>
        <v/>
      </c>
    </row>
    <row r="14">
      <c r="A14" s="32" t="inlineStr">
        <is>
          <t>Median Rent per m²</t>
        </is>
      </c>
      <c r="B14" s="7">
        <f>IFERROR(AGGREGATE(17,6,INPUT_DATA!$H$2:$H$201/((INPUT_DATA!$B$2:$B$201="Rent")*(INPUT_DATA!$H$2:$H$201&gt;0)),2),0)</f>
        <v/>
      </c>
    </row>
    <row r="15">
      <c r="A15" s="32" t="inlineStr">
        <is>
          <t>Count (Rent listings)</t>
        </is>
      </c>
      <c r="B15" s="33">
        <f>COUNTIFS(INPUT_DATA!$B$2:$B$201,"Rent",INPUT_DATA!$F$2:$F$201,"&gt;0")</f>
        <v/>
      </c>
    </row>
    <row r="17">
      <c r="A17" s="31" t="inlineStr">
        <is>
          <t>C) YIELD ESTIMATION</t>
        </is>
      </c>
    </row>
    <row r="18">
      <c r="A18" s="32" t="inlineStr">
        <is>
          <t>Avg Sale Price (whole property)</t>
        </is>
      </c>
      <c r="B18" s="7">
        <f>IFERROR(AVERAGEIFS(INPUT_DATA!$F$2:$F$201,INPUT_DATA!$B$2:$B$201,"Sale",INPUT_DATA!$F$2:$F$201,"&gt;0"),0)</f>
        <v/>
      </c>
    </row>
    <row r="19">
      <c r="A19" s="32" t="inlineStr">
        <is>
          <t>Annualised Rent (B12×12)</t>
        </is>
      </c>
      <c r="B19" s="7">
        <f>B12*12</f>
        <v/>
      </c>
    </row>
    <row r="20">
      <c r="A20" s="32" t="inlineStr">
        <is>
          <t>Gross Rental Yield</t>
        </is>
      </c>
      <c r="B20" s="34">
        <f>IFERROR(IF(B18&gt;0,B19/B18,0),0)</f>
        <v/>
      </c>
      <c r="C20" s="35" t="inlineStr">
        <is>
          <t>← headline KPI</t>
        </is>
      </c>
    </row>
    <row r="22">
      <c r="A22" s="31" t="inlineStr">
        <is>
          <t>D) MARKET SEGMENTATION  (Sale listings)</t>
        </is>
      </c>
    </row>
    <row r="23">
      <c r="A23" s="36" t="inlineStr">
        <is>
          <t>Condition</t>
        </is>
      </c>
      <c r="B23" s="36" t="inlineStr">
        <is>
          <t>Avg €/m²</t>
        </is>
      </c>
      <c r="C23" s="36" t="inlineStr">
        <is>
          <t>Median €/m²</t>
        </is>
      </c>
      <c r="D23" s="36" t="inlineStr">
        <is>
          <t># Listings</t>
        </is>
      </c>
    </row>
    <row r="24">
      <c r="A24" s="32" t="inlineStr">
        <is>
          <t>New</t>
        </is>
      </c>
      <c r="B24" s="7">
        <f>IFERROR(AVERAGEIFS(INPUT_DATA!$H$2:$H$201,INPUT_DATA!$B$2:$B$201,"Sale",INPUT_DATA!$M$2:$M$201,"New",INPUT_DATA!$H$2:$H$201,"&gt;0"),0)</f>
        <v/>
      </c>
      <c r="C24" s="7">
        <f>IFERROR(AGGREGATE(17,6,INPUT_DATA!$H$2:$H$201/((INPUT_DATA!$B$2:$B$201="Sale")*(INPUT_DATA!$M$2:$M$201="New")*(INPUT_DATA!$H$2:$H$201&gt;0)),2),0)</f>
        <v/>
      </c>
      <c r="D24" s="33">
        <f>COUNTIFS(INPUT_DATA!$B$2:$B$201,"Sale",INPUT_DATA!$M$2:$M$201,"New",INPUT_DATA!$F$2:$F$201,"&gt;0")</f>
        <v/>
      </c>
    </row>
    <row r="25">
      <c r="A25" s="32" t="inlineStr">
        <is>
          <t>Renovated</t>
        </is>
      </c>
      <c r="B25" s="7">
        <f>IFERROR(AVERAGEIFS(INPUT_DATA!$H$2:$H$201,INPUT_DATA!$B$2:$B$201,"Sale",INPUT_DATA!$M$2:$M$201,"Renovated",INPUT_DATA!$H$2:$H$201,"&gt;0"),0)</f>
        <v/>
      </c>
      <c r="C25" s="7">
        <f>IFERROR(AGGREGATE(17,6,INPUT_DATA!$H$2:$H$201/((INPUT_DATA!$B$2:$B$201="Sale")*(INPUT_DATA!$M$2:$M$201="Renovated")*(INPUT_DATA!$H$2:$H$201&gt;0)),2),0)</f>
        <v/>
      </c>
      <c r="D25" s="33">
        <f>COUNTIFS(INPUT_DATA!$B$2:$B$201,"Sale",INPUT_DATA!$M$2:$M$201,"Renovated",INPUT_DATA!$F$2:$F$201,"&gt;0")</f>
        <v/>
      </c>
    </row>
    <row r="26">
      <c r="A26" s="32" t="inlineStr">
        <is>
          <t>To renovate</t>
        </is>
      </c>
      <c r="B26" s="7">
        <f>IFERROR(AVERAGEIFS(INPUT_DATA!$H$2:$H$201,INPUT_DATA!$B$2:$B$201,"Sale",INPUT_DATA!$M$2:$M$201,"To renovate",INPUT_DATA!$H$2:$H$201,"&gt;0"),0)</f>
        <v/>
      </c>
      <c r="C26" s="7">
        <f>IFERROR(AGGREGATE(17,6,INPUT_DATA!$H$2:$H$201/((INPUT_DATA!$B$2:$B$201="Sale")*(INPUT_DATA!$M$2:$M$201="To renovate")*(INPUT_DATA!$H$2:$H$201&gt;0)),2),0)</f>
        <v/>
      </c>
      <c r="D26" s="33">
        <f>COUNTIFS(INPUT_DATA!$B$2:$B$201,"Sale",INPUT_DATA!$M$2:$M$201,"To renovate",INPUT_DATA!$F$2:$F$201,"&gt;0")</f>
        <v/>
      </c>
    </row>
    <row r="28">
      <c r="A28" s="31" t="inlineStr">
        <is>
          <t>E) CALCULATION NOTES</t>
        </is>
      </c>
    </row>
    <row r="29">
      <c r="A29" s="30" t="inlineStr">
        <is>
          <t>Medians use AGGREGATE(17,…) which ignores errors and blank cells automatically.</t>
        </is>
      </c>
    </row>
    <row r="30">
      <c r="A30" s="30" t="inlineStr">
        <is>
          <t>All averages use AVERAGEIFS with &gt;0 guard so empty rows are excluded from statistics.</t>
        </is>
      </c>
    </row>
    <row r="31">
      <c r="A31" s="30" t="inlineStr">
        <is>
          <t>To extend the data area beyond 200 rows, add data to INPUT_DATA and the formulas update automatically.</t>
        </is>
      </c>
    </row>
  </sheetData>
  <mergeCells count="10">
    <mergeCell ref="A1:D1"/>
    <mergeCell ref="A17:D17"/>
    <mergeCell ref="A31:D31"/>
    <mergeCell ref="A22:D22"/>
    <mergeCell ref="A4:D4"/>
    <mergeCell ref="A30:D30"/>
    <mergeCell ref="A29:D29"/>
    <mergeCell ref="A2:D2"/>
    <mergeCell ref="A11:D11"/>
    <mergeCell ref="A28:D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 ht="30" customHeight="1">
      <c r="A1" s="29" t="inlineStr">
        <is>
          <t>KEY COMPARABLES</t>
        </is>
      </c>
    </row>
    <row r="2">
      <c r="A2" s="30" t="inlineStr">
        <is>
          <t>Enter an ID from INPUT_DATA in column A to auto-fill the row. Column H is for manual comments.</t>
        </is>
      </c>
    </row>
    <row r="4">
      <c r="A4" s="1" t="inlineStr">
        <is>
          <t>ID</t>
        </is>
      </c>
      <c r="B4" s="1" t="inlineStr">
        <is>
          <t>Type</t>
        </is>
      </c>
      <c r="C4" s="1" t="inlineStr">
        <is>
          <t>Price</t>
        </is>
      </c>
      <c r="D4" s="1" t="inlineStr">
        <is>
          <t>Size</t>
        </is>
      </c>
      <c r="E4" s="1" t="inlineStr">
        <is>
          <t>Price per m²</t>
        </is>
      </c>
      <c r="F4" s="1" t="inlineStr">
        <is>
          <t>Condition</t>
        </is>
      </c>
      <c r="G4" s="1" t="inlineStr">
        <is>
          <t>Distance</t>
        </is>
      </c>
      <c r="H4" s="1" t="inlineStr">
        <is>
          <t>Comment (why it is relevant)</t>
        </is>
      </c>
    </row>
    <row r="5">
      <c r="A5" s="11" t="n"/>
      <c r="B5" s="37">
        <f>IF($A5="","",IFERROR(INDEX(INPUT_DATA!$B$2:$B$201,MATCH($A5,INPUT_DATA!$A$2:$A$201,0)),"not found"))</f>
        <v/>
      </c>
      <c r="C5" s="38">
        <f>IF($A5="","",IFERROR(INDEX(INPUT_DATA!$F$2:$F$201,MATCH($A5,INPUT_DATA!$A$2:$A$201,0)),"not found"))</f>
        <v/>
      </c>
      <c r="D5" s="39">
        <f>IF($A5="","",IFERROR(INDEX(INPUT_DATA!$G$2:$G$201,MATCH($A5,INPUT_DATA!$A$2:$A$201,0)),"not found"))</f>
        <v/>
      </c>
      <c r="E5" s="38">
        <f>IF($A5="","",IFERROR(INDEX(INPUT_DATA!$H$2:$H$201,MATCH($A5,INPUT_DATA!$A$2:$A$201,0)),"not found"))</f>
        <v/>
      </c>
      <c r="F5" s="37">
        <f>IF($A5="","",IFERROR(INDEX(INPUT_DATA!$M$2:$M$201,MATCH($A5,INPUT_DATA!$A$2:$A$201,0)),"not found"))</f>
        <v/>
      </c>
      <c r="G5" s="40">
        <f>IF($A5="","",IFERROR(INDEX(INPUT_DATA!$E$2:$E$201,MATCH($A5,INPUT_DATA!$A$2:$A$201,0)),"not found"))</f>
        <v/>
      </c>
      <c r="H5" s="11" t="n"/>
    </row>
    <row r="6">
      <c r="A6" s="11" t="n"/>
      <c r="B6" s="37">
        <f>IF($A6="","",IFERROR(INDEX(INPUT_DATA!$B$2:$B$201,MATCH($A6,INPUT_DATA!$A$2:$A$201,0)),"not found"))</f>
        <v/>
      </c>
      <c r="C6" s="38">
        <f>IF($A6="","",IFERROR(INDEX(INPUT_DATA!$F$2:$F$201,MATCH($A6,INPUT_DATA!$A$2:$A$201,0)),"not found"))</f>
        <v/>
      </c>
      <c r="D6" s="39">
        <f>IF($A6="","",IFERROR(INDEX(INPUT_DATA!$G$2:$G$201,MATCH($A6,INPUT_DATA!$A$2:$A$201,0)),"not found"))</f>
        <v/>
      </c>
      <c r="E6" s="38">
        <f>IF($A6="","",IFERROR(INDEX(INPUT_DATA!$H$2:$H$201,MATCH($A6,INPUT_DATA!$A$2:$A$201,0)),"not found"))</f>
        <v/>
      </c>
      <c r="F6" s="37">
        <f>IF($A6="","",IFERROR(INDEX(INPUT_DATA!$M$2:$M$201,MATCH($A6,INPUT_DATA!$A$2:$A$201,0)),"not found"))</f>
        <v/>
      </c>
      <c r="G6" s="40">
        <f>IF($A6="","",IFERROR(INDEX(INPUT_DATA!$E$2:$E$201,MATCH($A6,INPUT_DATA!$A$2:$A$201,0)),"not found"))</f>
        <v/>
      </c>
      <c r="H6" s="11" t="n"/>
    </row>
    <row r="7">
      <c r="A7" s="11" t="n"/>
      <c r="B7" s="37">
        <f>IF($A7="","",IFERROR(INDEX(INPUT_DATA!$B$2:$B$201,MATCH($A7,INPUT_DATA!$A$2:$A$201,0)),"not found"))</f>
        <v/>
      </c>
      <c r="C7" s="38">
        <f>IF($A7="","",IFERROR(INDEX(INPUT_DATA!$F$2:$F$201,MATCH($A7,INPUT_DATA!$A$2:$A$201,0)),"not found"))</f>
        <v/>
      </c>
      <c r="D7" s="39">
        <f>IF($A7="","",IFERROR(INDEX(INPUT_DATA!$G$2:$G$201,MATCH($A7,INPUT_DATA!$A$2:$A$201,0)),"not found"))</f>
        <v/>
      </c>
      <c r="E7" s="38">
        <f>IF($A7="","",IFERROR(INDEX(INPUT_DATA!$H$2:$H$201,MATCH($A7,INPUT_DATA!$A$2:$A$201,0)),"not found"))</f>
        <v/>
      </c>
      <c r="F7" s="37">
        <f>IF($A7="","",IFERROR(INDEX(INPUT_DATA!$M$2:$M$201,MATCH($A7,INPUT_DATA!$A$2:$A$201,0)),"not found"))</f>
        <v/>
      </c>
      <c r="G7" s="40">
        <f>IF($A7="","",IFERROR(INDEX(INPUT_DATA!$E$2:$E$201,MATCH($A7,INPUT_DATA!$A$2:$A$201,0)),"not found"))</f>
        <v/>
      </c>
      <c r="H7" s="11" t="n"/>
    </row>
    <row r="8">
      <c r="A8" s="11" t="n"/>
      <c r="B8" s="37">
        <f>IF($A8="","",IFERROR(INDEX(INPUT_DATA!$B$2:$B$201,MATCH($A8,INPUT_DATA!$A$2:$A$201,0)),"not found"))</f>
        <v/>
      </c>
      <c r="C8" s="38">
        <f>IF($A8="","",IFERROR(INDEX(INPUT_DATA!$F$2:$F$201,MATCH($A8,INPUT_DATA!$A$2:$A$201,0)),"not found"))</f>
        <v/>
      </c>
      <c r="D8" s="39">
        <f>IF($A8="","",IFERROR(INDEX(INPUT_DATA!$G$2:$G$201,MATCH($A8,INPUT_DATA!$A$2:$A$201,0)),"not found"))</f>
        <v/>
      </c>
      <c r="E8" s="38">
        <f>IF($A8="","",IFERROR(INDEX(INPUT_DATA!$H$2:$H$201,MATCH($A8,INPUT_DATA!$A$2:$A$201,0)),"not found"))</f>
        <v/>
      </c>
      <c r="F8" s="37">
        <f>IF($A8="","",IFERROR(INDEX(INPUT_DATA!$M$2:$M$201,MATCH($A8,INPUT_DATA!$A$2:$A$201,0)),"not found"))</f>
        <v/>
      </c>
      <c r="G8" s="40">
        <f>IF($A8="","",IFERROR(INDEX(INPUT_DATA!$E$2:$E$201,MATCH($A8,INPUT_DATA!$A$2:$A$201,0)),"not found"))</f>
        <v/>
      </c>
      <c r="H8" s="11" t="n"/>
    </row>
    <row r="9">
      <c r="A9" s="11" t="n"/>
      <c r="B9" s="37">
        <f>IF($A9="","",IFERROR(INDEX(INPUT_DATA!$B$2:$B$201,MATCH($A9,INPUT_DATA!$A$2:$A$201,0)),"not found"))</f>
        <v/>
      </c>
      <c r="C9" s="38">
        <f>IF($A9="","",IFERROR(INDEX(INPUT_DATA!$F$2:$F$201,MATCH($A9,INPUT_DATA!$A$2:$A$201,0)),"not found"))</f>
        <v/>
      </c>
      <c r="D9" s="39">
        <f>IF($A9="","",IFERROR(INDEX(INPUT_DATA!$G$2:$G$201,MATCH($A9,INPUT_DATA!$A$2:$A$201,0)),"not found"))</f>
        <v/>
      </c>
      <c r="E9" s="38">
        <f>IF($A9="","",IFERROR(INDEX(INPUT_DATA!$H$2:$H$201,MATCH($A9,INPUT_DATA!$A$2:$A$201,0)),"not found"))</f>
        <v/>
      </c>
      <c r="F9" s="37">
        <f>IF($A9="","",IFERROR(INDEX(INPUT_DATA!$M$2:$M$201,MATCH($A9,INPUT_DATA!$A$2:$A$201,0)),"not found"))</f>
        <v/>
      </c>
      <c r="G9" s="40">
        <f>IF($A9="","",IFERROR(INDEX(INPUT_DATA!$E$2:$E$201,MATCH($A9,INPUT_DATA!$A$2:$A$201,0)),"not found"))</f>
        <v/>
      </c>
      <c r="H9" s="11" t="n"/>
    </row>
    <row r="10">
      <c r="A10" s="11" t="n"/>
      <c r="B10" s="37">
        <f>IF($A10="","",IFERROR(INDEX(INPUT_DATA!$B$2:$B$201,MATCH($A10,INPUT_DATA!$A$2:$A$201,0)),"not found"))</f>
        <v/>
      </c>
      <c r="C10" s="38">
        <f>IF($A10="","",IFERROR(INDEX(INPUT_DATA!$F$2:$F$201,MATCH($A10,INPUT_DATA!$A$2:$A$201,0)),"not found"))</f>
        <v/>
      </c>
      <c r="D10" s="39">
        <f>IF($A10="","",IFERROR(INDEX(INPUT_DATA!$G$2:$G$201,MATCH($A10,INPUT_DATA!$A$2:$A$201,0)),"not found"))</f>
        <v/>
      </c>
      <c r="E10" s="38">
        <f>IF($A10="","",IFERROR(INDEX(INPUT_DATA!$H$2:$H$201,MATCH($A10,INPUT_DATA!$A$2:$A$201,0)),"not found"))</f>
        <v/>
      </c>
      <c r="F10" s="37">
        <f>IF($A10="","",IFERROR(INDEX(INPUT_DATA!$M$2:$M$201,MATCH($A10,INPUT_DATA!$A$2:$A$201,0)),"not found"))</f>
        <v/>
      </c>
      <c r="G10" s="40">
        <f>IF($A10="","",IFERROR(INDEX(INPUT_DATA!$E$2:$E$201,MATCH($A10,INPUT_DATA!$A$2:$A$201,0)),"not found"))</f>
        <v/>
      </c>
      <c r="H10" s="11" t="n"/>
    </row>
    <row r="11">
      <c r="A11" s="11" t="n"/>
      <c r="B11" s="37">
        <f>IF($A11="","",IFERROR(INDEX(INPUT_DATA!$B$2:$B$201,MATCH($A11,INPUT_DATA!$A$2:$A$201,0)),"not found"))</f>
        <v/>
      </c>
      <c r="C11" s="38">
        <f>IF($A11="","",IFERROR(INDEX(INPUT_DATA!$F$2:$F$201,MATCH($A11,INPUT_DATA!$A$2:$A$201,0)),"not found"))</f>
        <v/>
      </c>
      <c r="D11" s="39">
        <f>IF($A11="","",IFERROR(INDEX(INPUT_DATA!$G$2:$G$201,MATCH($A11,INPUT_DATA!$A$2:$A$201,0)),"not found"))</f>
        <v/>
      </c>
      <c r="E11" s="38">
        <f>IF($A11="","",IFERROR(INDEX(INPUT_DATA!$H$2:$H$201,MATCH($A11,INPUT_DATA!$A$2:$A$201,0)),"not found"))</f>
        <v/>
      </c>
      <c r="F11" s="37">
        <f>IF($A11="","",IFERROR(INDEX(INPUT_DATA!$M$2:$M$201,MATCH($A11,INPUT_DATA!$A$2:$A$201,0)),"not found"))</f>
        <v/>
      </c>
      <c r="G11" s="40">
        <f>IF($A11="","",IFERROR(INDEX(INPUT_DATA!$E$2:$E$201,MATCH($A11,INPUT_DATA!$A$2:$A$201,0)),"not found"))</f>
        <v/>
      </c>
      <c r="H11" s="11" t="n"/>
    </row>
    <row r="12">
      <c r="A12" s="11" t="n"/>
      <c r="B12" s="37">
        <f>IF($A12="","",IFERROR(INDEX(INPUT_DATA!$B$2:$B$201,MATCH($A12,INPUT_DATA!$A$2:$A$201,0)),"not found"))</f>
        <v/>
      </c>
      <c r="C12" s="38">
        <f>IF($A12="","",IFERROR(INDEX(INPUT_DATA!$F$2:$F$201,MATCH($A12,INPUT_DATA!$A$2:$A$201,0)),"not found"))</f>
        <v/>
      </c>
      <c r="D12" s="39">
        <f>IF($A12="","",IFERROR(INDEX(INPUT_DATA!$G$2:$G$201,MATCH($A12,INPUT_DATA!$A$2:$A$201,0)),"not found"))</f>
        <v/>
      </c>
      <c r="E12" s="38">
        <f>IF($A12="","",IFERROR(INDEX(INPUT_DATA!$H$2:$H$201,MATCH($A12,INPUT_DATA!$A$2:$A$201,0)),"not found"))</f>
        <v/>
      </c>
      <c r="F12" s="37">
        <f>IF($A12="","",IFERROR(INDEX(INPUT_DATA!$M$2:$M$201,MATCH($A12,INPUT_DATA!$A$2:$A$201,0)),"not found"))</f>
        <v/>
      </c>
      <c r="G12" s="40">
        <f>IF($A12="","",IFERROR(INDEX(INPUT_DATA!$E$2:$E$201,MATCH($A12,INPUT_DATA!$A$2:$A$201,0)),"not found"))</f>
        <v/>
      </c>
      <c r="H12" s="11" t="n"/>
    </row>
    <row r="13">
      <c r="A13" s="11" t="n"/>
      <c r="B13" s="37">
        <f>IF($A13="","",IFERROR(INDEX(INPUT_DATA!$B$2:$B$201,MATCH($A13,INPUT_DATA!$A$2:$A$201,0)),"not found"))</f>
        <v/>
      </c>
      <c r="C13" s="38">
        <f>IF($A13="","",IFERROR(INDEX(INPUT_DATA!$F$2:$F$201,MATCH($A13,INPUT_DATA!$A$2:$A$201,0)),"not found"))</f>
        <v/>
      </c>
      <c r="D13" s="39">
        <f>IF($A13="","",IFERROR(INDEX(INPUT_DATA!$G$2:$G$201,MATCH($A13,INPUT_DATA!$A$2:$A$201,0)),"not found"))</f>
        <v/>
      </c>
      <c r="E13" s="38">
        <f>IF($A13="","",IFERROR(INDEX(INPUT_DATA!$H$2:$H$201,MATCH($A13,INPUT_DATA!$A$2:$A$201,0)),"not found"))</f>
        <v/>
      </c>
      <c r="F13" s="37">
        <f>IF($A13="","",IFERROR(INDEX(INPUT_DATA!$M$2:$M$201,MATCH($A13,INPUT_DATA!$A$2:$A$201,0)),"not found"))</f>
        <v/>
      </c>
      <c r="G13" s="40">
        <f>IF($A13="","",IFERROR(INDEX(INPUT_DATA!$E$2:$E$201,MATCH($A13,INPUT_DATA!$A$2:$A$201,0)),"not found"))</f>
        <v/>
      </c>
      <c r="H13" s="11" t="n"/>
    </row>
    <row r="14">
      <c r="A14" s="11" t="n"/>
      <c r="B14" s="37">
        <f>IF($A14="","",IFERROR(INDEX(INPUT_DATA!$B$2:$B$201,MATCH($A14,INPUT_DATA!$A$2:$A$201,0)),"not found"))</f>
        <v/>
      </c>
      <c r="C14" s="38">
        <f>IF($A14="","",IFERROR(INDEX(INPUT_DATA!$F$2:$F$201,MATCH($A14,INPUT_DATA!$A$2:$A$201,0)),"not found"))</f>
        <v/>
      </c>
      <c r="D14" s="39">
        <f>IF($A14="","",IFERROR(INDEX(INPUT_DATA!$G$2:$G$201,MATCH($A14,INPUT_DATA!$A$2:$A$201,0)),"not found"))</f>
        <v/>
      </c>
      <c r="E14" s="38">
        <f>IF($A14="","",IFERROR(INDEX(INPUT_DATA!$H$2:$H$201,MATCH($A14,INPUT_DATA!$A$2:$A$201,0)),"not found"))</f>
        <v/>
      </c>
      <c r="F14" s="37">
        <f>IF($A14="","",IFERROR(INDEX(INPUT_DATA!$M$2:$M$201,MATCH($A14,INPUT_DATA!$A$2:$A$201,0)),"not found"))</f>
        <v/>
      </c>
      <c r="G14" s="40">
        <f>IF($A14="","",IFERROR(INDEX(INPUT_DATA!$E$2:$E$201,MATCH($A14,INPUT_DATA!$A$2:$A$201,0)),"not found"))</f>
        <v/>
      </c>
      <c r="H14" s="11" t="n"/>
    </row>
    <row r="15">
      <c r="A15" s="11" t="n"/>
      <c r="B15" s="37">
        <f>IF($A15="","",IFERROR(INDEX(INPUT_DATA!$B$2:$B$201,MATCH($A15,INPUT_DATA!$A$2:$A$201,0)),"not found"))</f>
        <v/>
      </c>
      <c r="C15" s="38">
        <f>IF($A15="","",IFERROR(INDEX(INPUT_DATA!$F$2:$F$201,MATCH($A15,INPUT_DATA!$A$2:$A$201,0)),"not found"))</f>
        <v/>
      </c>
      <c r="D15" s="39">
        <f>IF($A15="","",IFERROR(INDEX(INPUT_DATA!$G$2:$G$201,MATCH($A15,INPUT_DATA!$A$2:$A$201,0)),"not found"))</f>
        <v/>
      </c>
      <c r="E15" s="38">
        <f>IF($A15="","",IFERROR(INDEX(INPUT_DATA!$H$2:$H$201,MATCH($A15,INPUT_DATA!$A$2:$A$201,0)),"not found"))</f>
        <v/>
      </c>
      <c r="F15" s="37">
        <f>IF($A15="","",IFERROR(INDEX(INPUT_DATA!$M$2:$M$201,MATCH($A15,INPUT_DATA!$A$2:$A$201,0)),"not found"))</f>
        <v/>
      </c>
      <c r="G15" s="40">
        <f>IF($A15="","",IFERROR(INDEX(INPUT_DATA!$E$2:$E$201,MATCH($A15,INPUT_DATA!$A$2:$A$201,0)),"not found"))</f>
        <v/>
      </c>
      <c r="H15" s="11" t="n"/>
    </row>
    <row r="16">
      <c r="A16" s="11" t="n"/>
      <c r="B16" s="37">
        <f>IF($A16="","",IFERROR(INDEX(INPUT_DATA!$B$2:$B$201,MATCH($A16,INPUT_DATA!$A$2:$A$201,0)),"not found"))</f>
        <v/>
      </c>
      <c r="C16" s="38">
        <f>IF($A16="","",IFERROR(INDEX(INPUT_DATA!$F$2:$F$201,MATCH($A16,INPUT_DATA!$A$2:$A$201,0)),"not found"))</f>
        <v/>
      </c>
      <c r="D16" s="39">
        <f>IF($A16="","",IFERROR(INDEX(INPUT_DATA!$G$2:$G$201,MATCH($A16,INPUT_DATA!$A$2:$A$201,0)),"not found"))</f>
        <v/>
      </c>
      <c r="E16" s="38">
        <f>IF($A16="","",IFERROR(INDEX(INPUT_DATA!$H$2:$H$201,MATCH($A16,INPUT_DATA!$A$2:$A$201,0)),"not found"))</f>
        <v/>
      </c>
      <c r="F16" s="37">
        <f>IF($A16="","",IFERROR(INDEX(INPUT_DATA!$M$2:$M$201,MATCH($A16,INPUT_DATA!$A$2:$A$201,0)),"not found"))</f>
        <v/>
      </c>
      <c r="G16" s="40">
        <f>IF($A16="","",IFERROR(INDEX(INPUT_DATA!$E$2:$E$201,MATCH($A16,INPUT_DATA!$A$2:$A$201,0)),"not found"))</f>
        <v/>
      </c>
      <c r="H16" s="11" t="n"/>
    </row>
    <row r="17">
      <c r="A17" s="11" t="n"/>
      <c r="B17" s="37">
        <f>IF($A17="","",IFERROR(INDEX(INPUT_DATA!$B$2:$B$201,MATCH($A17,INPUT_DATA!$A$2:$A$201,0)),"not found"))</f>
        <v/>
      </c>
      <c r="C17" s="38">
        <f>IF($A17="","",IFERROR(INDEX(INPUT_DATA!$F$2:$F$201,MATCH($A17,INPUT_DATA!$A$2:$A$201,0)),"not found"))</f>
        <v/>
      </c>
      <c r="D17" s="39">
        <f>IF($A17="","",IFERROR(INDEX(INPUT_DATA!$G$2:$G$201,MATCH($A17,INPUT_DATA!$A$2:$A$201,0)),"not found"))</f>
        <v/>
      </c>
      <c r="E17" s="38">
        <f>IF($A17="","",IFERROR(INDEX(INPUT_DATA!$H$2:$H$201,MATCH($A17,INPUT_DATA!$A$2:$A$201,0)),"not found"))</f>
        <v/>
      </c>
      <c r="F17" s="37">
        <f>IF($A17="","",IFERROR(INDEX(INPUT_DATA!$M$2:$M$201,MATCH($A17,INPUT_DATA!$A$2:$A$201,0)),"not found"))</f>
        <v/>
      </c>
      <c r="G17" s="40">
        <f>IF($A17="","",IFERROR(INDEX(INPUT_DATA!$E$2:$E$201,MATCH($A17,INPUT_DATA!$A$2:$A$201,0)),"not found"))</f>
        <v/>
      </c>
      <c r="H17" s="11" t="n"/>
    </row>
    <row r="18">
      <c r="A18" s="11" t="n"/>
      <c r="B18" s="37">
        <f>IF($A18="","",IFERROR(INDEX(INPUT_DATA!$B$2:$B$201,MATCH($A18,INPUT_DATA!$A$2:$A$201,0)),"not found"))</f>
        <v/>
      </c>
      <c r="C18" s="38">
        <f>IF($A18="","",IFERROR(INDEX(INPUT_DATA!$F$2:$F$201,MATCH($A18,INPUT_DATA!$A$2:$A$201,0)),"not found"))</f>
        <v/>
      </c>
      <c r="D18" s="39">
        <f>IF($A18="","",IFERROR(INDEX(INPUT_DATA!$G$2:$G$201,MATCH($A18,INPUT_DATA!$A$2:$A$201,0)),"not found"))</f>
        <v/>
      </c>
      <c r="E18" s="38">
        <f>IF($A18="","",IFERROR(INDEX(INPUT_DATA!$H$2:$H$201,MATCH($A18,INPUT_DATA!$A$2:$A$201,0)),"not found"))</f>
        <v/>
      </c>
      <c r="F18" s="37">
        <f>IF($A18="","",IFERROR(INDEX(INPUT_DATA!$M$2:$M$201,MATCH($A18,INPUT_DATA!$A$2:$A$201,0)),"not found"))</f>
        <v/>
      </c>
      <c r="G18" s="40">
        <f>IF($A18="","",IFERROR(INDEX(INPUT_DATA!$E$2:$E$201,MATCH($A18,INPUT_DATA!$A$2:$A$201,0)),"not found"))</f>
        <v/>
      </c>
      <c r="H18" s="11" t="n"/>
    </row>
    <row r="19">
      <c r="A19" s="11" t="n"/>
      <c r="B19" s="37">
        <f>IF($A19="","",IFERROR(INDEX(INPUT_DATA!$B$2:$B$201,MATCH($A19,INPUT_DATA!$A$2:$A$201,0)),"not found"))</f>
        <v/>
      </c>
      <c r="C19" s="38">
        <f>IF($A19="","",IFERROR(INDEX(INPUT_DATA!$F$2:$F$201,MATCH($A19,INPUT_DATA!$A$2:$A$201,0)),"not found"))</f>
        <v/>
      </c>
      <c r="D19" s="39">
        <f>IF($A19="","",IFERROR(INDEX(INPUT_DATA!$G$2:$G$201,MATCH($A19,INPUT_DATA!$A$2:$A$201,0)),"not found"))</f>
        <v/>
      </c>
      <c r="E19" s="38">
        <f>IF($A19="","",IFERROR(INDEX(INPUT_DATA!$H$2:$H$201,MATCH($A19,INPUT_DATA!$A$2:$A$201,0)),"not found"))</f>
        <v/>
      </c>
      <c r="F19" s="37">
        <f>IF($A19="","",IFERROR(INDEX(INPUT_DATA!$M$2:$M$201,MATCH($A19,INPUT_DATA!$A$2:$A$201,0)),"not found"))</f>
        <v/>
      </c>
      <c r="G19" s="40">
        <f>IF($A19="","",IFERROR(INDEX(INPUT_DATA!$E$2:$E$201,MATCH($A19,INPUT_DATA!$A$2:$A$201,0)),"not found"))</f>
        <v/>
      </c>
      <c r="H19" s="11" t="n"/>
    </row>
    <row r="20">
      <c r="A20" s="11" t="n"/>
      <c r="B20" s="37">
        <f>IF($A20="","",IFERROR(INDEX(INPUT_DATA!$B$2:$B$201,MATCH($A20,INPUT_DATA!$A$2:$A$201,0)),"not found"))</f>
        <v/>
      </c>
      <c r="C20" s="38">
        <f>IF($A20="","",IFERROR(INDEX(INPUT_DATA!$F$2:$F$201,MATCH($A20,INPUT_DATA!$A$2:$A$201,0)),"not found"))</f>
        <v/>
      </c>
      <c r="D20" s="39">
        <f>IF($A20="","",IFERROR(INDEX(INPUT_DATA!$G$2:$G$201,MATCH($A20,INPUT_DATA!$A$2:$A$201,0)),"not found"))</f>
        <v/>
      </c>
      <c r="E20" s="38">
        <f>IF($A20="","",IFERROR(INDEX(INPUT_DATA!$H$2:$H$201,MATCH($A20,INPUT_DATA!$A$2:$A$201,0)),"not found"))</f>
        <v/>
      </c>
      <c r="F20" s="37">
        <f>IF($A20="","",IFERROR(INDEX(INPUT_DATA!$M$2:$M$201,MATCH($A20,INPUT_DATA!$A$2:$A$201,0)),"not found"))</f>
        <v/>
      </c>
      <c r="G20" s="40">
        <f>IF($A20="","",IFERROR(INDEX(INPUT_DATA!$E$2:$E$201,MATCH($A20,INPUT_DATA!$A$2:$A$201,0)),"not found"))</f>
        <v/>
      </c>
      <c r="H20" s="11" t="n"/>
    </row>
    <row r="21">
      <c r="A21" s="11" t="n"/>
      <c r="B21" s="37">
        <f>IF($A21="","",IFERROR(INDEX(INPUT_DATA!$B$2:$B$201,MATCH($A21,INPUT_DATA!$A$2:$A$201,0)),"not found"))</f>
        <v/>
      </c>
      <c r="C21" s="38">
        <f>IF($A21="","",IFERROR(INDEX(INPUT_DATA!$F$2:$F$201,MATCH($A21,INPUT_DATA!$A$2:$A$201,0)),"not found"))</f>
        <v/>
      </c>
      <c r="D21" s="39">
        <f>IF($A21="","",IFERROR(INDEX(INPUT_DATA!$G$2:$G$201,MATCH($A21,INPUT_DATA!$A$2:$A$201,0)),"not found"))</f>
        <v/>
      </c>
      <c r="E21" s="38">
        <f>IF($A21="","",IFERROR(INDEX(INPUT_DATA!$H$2:$H$201,MATCH($A21,INPUT_DATA!$A$2:$A$201,0)),"not found"))</f>
        <v/>
      </c>
      <c r="F21" s="37">
        <f>IF($A21="","",IFERROR(INDEX(INPUT_DATA!$M$2:$M$201,MATCH($A21,INPUT_DATA!$A$2:$A$201,0)),"not found"))</f>
        <v/>
      </c>
      <c r="G21" s="40">
        <f>IF($A21="","",IFERROR(INDEX(INPUT_DATA!$E$2:$E$201,MATCH($A21,INPUT_DATA!$A$2:$A$201,0)),"not found"))</f>
        <v/>
      </c>
      <c r="H21" s="11" t="n"/>
    </row>
    <row r="22">
      <c r="A22" s="11" t="n"/>
      <c r="B22" s="37">
        <f>IF($A22="","",IFERROR(INDEX(INPUT_DATA!$B$2:$B$201,MATCH($A22,INPUT_DATA!$A$2:$A$201,0)),"not found"))</f>
        <v/>
      </c>
      <c r="C22" s="38">
        <f>IF($A22="","",IFERROR(INDEX(INPUT_DATA!$F$2:$F$201,MATCH($A22,INPUT_DATA!$A$2:$A$201,0)),"not found"))</f>
        <v/>
      </c>
      <c r="D22" s="39">
        <f>IF($A22="","",IFERROR(INDEX(INPUT_DATA!$G$2:$G$201,MATCH($A22,INPUT_DATA!$A$2:$A$201,0)),"not found"))</f>
        <v/>
      </c>
      <c r="E22" s="38">
        <f>IF($A22="","",IFERROR(INDEX(INPUT_DATA!$H$2:$H$201,MATCH($A22,INPUT_DATA!$A$2:$A$201,0)),"not found"))</f>
        <v/>
      </c>
      <c r="F22" s="37">
        <f>IF($A22="","",IFERROR(INDEX(INPUT_DATA!$M$2:$M$201,MATCH($A22,INPUT_DATA!$A$2:$A$201,0)),"not found"))</f>
        <v/>
      </c>
      <c r="G22" s="40">
        <f>IF($A22="","",IFERROR(INDEX(INPUT_DATA!$E$2:$E$201,MATCH($A22,INPUT_DATA!$A$2:$A$201,0)),"not found"))</f>
        <v/>
      </c>
      <c r="H22" s="11" t="n"/>
    </row>
    <row r="23">
      <c r="A23" s="11" t="n"/>
      <c r="B23" s="37">
        <f>IF($A23="","",IFERROR(INDEX(INPUT_DATA!$B$2:$B$201,MATCH($A23,INPUT_DATA!$A$2:$A$201,0)),"not found"))</f>
        <v/>
      </c>
      <c r="C23" s="38">
        <f>IF($A23="","",IFERROR(INDEX(INPUT_DATA!$F$2:$F$201,MATCH($A23,INPUT_DATA!$A$2:$A$201,0)),"not found"))</f>
        <v/>
      </c>
      <c r="D23" s="39">
        <f>IF($A23="","",IFERROR(INDEX(INPUT_DATA!$G$2:$G$201,MATCH($A23,INPUT_DATA!$A$2:$A$201,0)),"not found"))</f>
        <v/>
      </c>
      <c r="E23" s="38">
        <f>IF($A23="","",IFERROR(INDEX(INPUT_DATA!$H$2:$H$201,MATCH($A23,INPUT_DATA!$A$2:$A$201,0)),"not found"))</f>
        <v/>
      </c>
      <c r="F23" s="37">
        <f>IF($A23="","",IFERROR(INDEX(INPUT_DATA!$M$2:$M$201,MATCH($A23,INPUT_DATA!$A$2:$A$201,0)),"not found"))</f>
        <v/>
      </c>
      <c r="G23" s="40">
        <f>IF($A23="","",IFERROR(INDEX(INPUT_DATA!$E$2:$E$201,MATCH($A23,INPUT_DATA!$A$2:$A$201,0)),"not found"))</f>
        <v/>
      </c>
      <c r="H23" s="11" t="n"/>
    </row>
    <row r="24">
      <c r="A24" s="11" t="n"/>
      <c r="B24" s="37">
        <f>IF($A24="","",IFERROR(INDEX(INPUT_DATA!$B$2:$B$201,MATCH($A24,INPUT_DATA!$A$2:$A$201,0)),"not found"))</f>
        <v/>
      </c>
      <c r="C24" s="38">
        <f>IF($A24="","",IFERROR(INDEX(INPUT_DATA!$F$2:$F$201,MATCH($A24,INPUT_DATA!$A$2:$A$201,0)),"not found"))</f>
        <v/>
      </c>
      <c r="D24" s="39">
        <f>IF($A24="","",IFERROR(INDEX(INPUT_DATA!$G$2:$G$201,MATCH($A24,INPUT_DATA!$A$2:$A$201,0)),"not found"))</f>
        <v/>
      </c>
      <c r="E24" s="38">
        <f>IF($A24="","",IFERROR(INDEX(INPUT_DATA!$H$2:$H$201,MATCH($A24,INPUT_DATA!$A$2:$A$201,0)),"not found"))</f>
        <v/>
      </c>
      <c r="F24" s="37">
        <f>IF($A24="","",IFERROR(INDEX(INPUT_DATA!$M$2:$M$201,MATCH($A24,INPUT_DATA!$A$2:$A$201,0)),"not found"))</f>
        <v/>
      </c>
      <c r="G24" s="40">
        <f>IF($A24="","",IFERROR(INDEX(INPUT_DATA!$E$2:$E$201,MATCH($A24,INPUT_DATA!$A$2:$A$201,0)),"not found"))</f>
        <v/>
      </c>
      <c r="H24" s="11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2026-04-26T19:18:40Z</dcterms:created>
  <dcterms:modified xmlns:dcterms="http://purl.org/dc/terms/" xmlns:xsi="http://www.w3.org/2001/XMLSchema-instance" xsi:type="dcterms:W3CDTF">2026-04-26T19:18:40Z</dcterms:modified>
</cp:coreProperties>
</file>